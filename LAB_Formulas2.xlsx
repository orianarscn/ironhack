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oriana_daniela_rosciano_es_ey_com/Documents/Documents/Ironhack/"/>
    </mc:Choice>
  </mc:AlternateContent>
  <xr:revisionPtr revIDLastSave="0" documentId="8_{12C9BC26-A725-4659-A52C-F686EEBBE98F}" xr6:coauthVersionLast="47" xr6:coauthVersionMax="47" xr10:uidLastSave="{00000000-0000-0000-0000-000000000000}"/>
  <bookViews>
    <workbookView xWindow="-110" yWindow="-110" windowWidth="19420" windowHeight="11500" tabRatio="843" xr2:uid="{00000000-000D-0000-FFFF-FFFF00000000}"/>
  </bookViews>
  <sheets>
    <sheet name="LABORATORIO 2" sheetId="9" r:id="rId1"/>
    <sheet name="Exercise 1" sheetId="2" r:id="rId2"/>
    <sheet name="Exercise 2" sheetId="1" r:id="rId3"/>
    <sheet name="Exercise 3" sheetId="3" r:id="rId4"/>
    <sheet name="Exercise 4" sheetId="4" r:id="rId5"/>
    <sheet name="Exercise 5" sheetId="5" r:id="rId6"/>
    <sheet name="Assurance data" sheetId="7" r:id="rId7"/>
  </sheets>
  <definedNames>
    <definedName name="_xlnm._FilterDatabase" localSheetId="1" hidden="1">'Exercise 1'!$A$1:$O$1072</definedName>
    <definedName name="_xlnm._FilterDatabase" localSheetId="2" hidden="1">'Exercise 2'!$A$1:$L$1072</definedName>
    <definedName name="_xlnm._FilterDatabase" localSheetId="3" hidden="1">'Exercise 3'!$A$1:$L$1072</definedName>
    <definedName name="_xlnm._FilterDatabase" localSheetId="4" hidden="1">'Exercise 4'!$A$1:$L$1072</definedName>
    <definedName name="_xlnm._FilterDatabase" localSheetId="5" hidden="1">'Exercise 5'!$A$1:$L$1072</definedName>
    <definedName name="_xlnm._FilterDatabase" localSheetId="0" hidden="1">'LABORATORIO 2'!$A$1:$L$1072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9" l="1"/>
  <c r="W2" i="9"/>
  <c r="V2" i="9"/>
  <c r="U2" i="9"/>
  <c r="T2" i="9"/>
  <c r="S2" i="9"/>
  <c r="R2" i="9"/>
  <c r="Q2" i="9"/>
  <c r="P2" i="9"/>
  <c r="O2" i="9"/>
  <c r="N2" i="9"/>
  <c r="M2" i="9"/>
  <c r="M107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2" i="3"/>
  <c r="O1072" i="2"/>
  <c r="N1072" i="2"/>
  <c r="M1072" i="2"/>
  <c r="O1071" i="2"/>
  <c r="N1071" i="2"/>
  <c r="M1071" i="2"/>
  <c r="O1070" i="2"/>
  <c r="N1070" i="2"/>
  <c r="M1070" i="2"/>
  <c r="O1069" i="2"/>
  <c r="N1069" i="2"/>
  <c r="M1069" i="2"/>
  <c r="O1068" i="2"/>
  <c r="N1068" i="2"/>
  <c r="M1068" i="2"/>
  <c r="O1067" i="2"/>
  <c r="N1067" i="2"/>
  <c r="M1067" i="2"/>
  <c r="O1066" i="2"/>
  <c r="N1066" i="2"/>
  <c r="M1066" i="2"/>
  <c r="O1065" i="2"/>
  <c r="N1065" i="2"/>
  <c r="M1065" i="2"/>
  <c r="O1064" i="2"/>
  <c r="N1064" i="2"/>
  <c r="M1064" i="2"/>
  <c r="O1063" i="2"/>
  <c r="N1063" i="2"/>
  <c r="M1063" i="2"/>
  <c r="O1062" i="2"/>
  <c r="N1062" i="2"/>
  <c r="M1062" i="2"/>
  <c r="O1061" i="2"/>
  <c r="N1061" i="2"/>
  <c r="M1061" i="2"/>
  <c r="O1060" i="2"/>
  <c r="N1060" i="2"/>
  <c r="M1060" i="2"/>
  <c r="O1059" i="2"/>
  <c r="N1059" i="2"/>
  <c r="M1059" i="2"/>
  <c r="O1058" i="2"/>
  <c r="N1058" i="2"/>
  <c r="M1058" i="2"/>
  <c r="O1057" i="2"/>
  <c r="N1057" i="2"/>
  <c r="M1057" i="2"/>
  <c r="O1056" i="2"/>
  <c r="N1056" i="2"/>
  <c r="M1056" i="2"/>
  <c r="O1055" i="2"/>
  <c r="N1055" i="2"/>
  <c r="M1055" i="2"/>
  <c r="O1054" i="2"/>
  <c r="N1054" i="2"/>
  <c r="M1054" i="2"/>
  <c r="O1053" i="2"/>
  <c r="N1053" i="2"/>
  <c r="M1053" i="2"/>
  <c r="O1052" i="2"/>
  <c r="N1052" i="2"/>
  <c r="M1052" i="2"/>
  <c r="O1051" i="2"/>
  <c r="N1051" i="2"/>
  <c r="M1051" i="2"/>
  <c r="O1050" i="2"/>
  <c r="N1050" i="2"/>
  <c r="M1050" i="2"/>
  <c r="O1049" i="2"/>
  <c r="N1049" i="2"/>
  <c r="M1049" i="2"/>
  <c r="O1048" i="2"/>
  <c r="N1048" i="2"/>
  <c r="M1048" i="2"/>
  <c r="O1047" i="2"/>
  <c r="N1047" i="2"/>
  <c r="M1047" i="2"/>
  <c r="O1046" i="2"/>
  <c r="N1046" i="2"/>
  <c r="M1046" i="2"/>
  <c r="O1045" i="2"/>
  <c r="N1045" i="2"/>
  <c r="M1045" i="2"/>
  <c r="O1044" i="2"/>
  <c r="N1044" i="2"/>
  <c r="M1044" i="2"/>
  <c r="O1043" i="2"/>
  <c r="N1043" i="2"/>
  <c r="M1043" i="2"/>
  <c r="O1042" i="2"/>
  <c r="N1042" i="2"/>
  <c r="M1042" i="2"/>
  <c r="O1041" i="2"/>
  <c r="N1041" i="2"/>
  <c r="M1041" i="2"/>
  <c r="O1040" i="2"/>
  <c r="N1040" i="2"/>
  <c r="M1040" i="2"/>
  <c r="O1039" i="2"/>
  <c r="N1039" i="2"/>
  <c r="M1039" i="2"/>
  <c r="O1038" i="2"/>
  <c r="N1038" i="2"/>
  <c r="M1038" i="2"/>
  <c r="O1037" i="2"/>
  <c r="N1037" i="2"/>
  <c r="M1037" i="2"/>
  <c r="O1036" i="2"/>
  <c r="N1036" i="2"/>
  <c r="M1036" i="2"/>
  <c r="O1035" i="2"/>
  <c r="N1035" i="2"/>
  <c r="M1035" i="2"/>
  <c r="O1034" i="2"/>
  <c r="N1034" i="2"/>
  <c r="M1034" i="2"/>
  <c r="O1033" i="2"/>
  <c r="N1033" i="2"/>
  <c r="M1033" i="2"/>
  <c r="O1032" i="2"/>
  <c r="N1032" i="2"/>
  <c r="M1032" i="2"/>
  <c r="O1031" i="2"/>
  <c r="N1031" i="2"/>
  <c r="M1031" i="2"/>
  <c r="O1030" i="2"/>
  <c r="N1030" i="2"/>
  <c r="M1030" i="2"/>
  <c r="O1029" i="2"/>
  <c r="N1029" i="2"/>
  <c r="M1029" i="2"/>
  <c r="O1028" i="2"/>
  <c r="N1028" i="2"/>
  <c r="M1028" i="2"/>
  <c r="O1027" i="2"/>
  <c r="N1027" i="2"/>
  <c r="M1027" i="2"/>
  <c r="O1026" i="2"/>
  <c r="N1026" i="2"/>
  <c r="M1026" i="2"/>
  <c r="O1025" i="2"/>
  <c r="N1025" i="2"/>
  <c r="M1025" i="2"/>
  <c r="O1024" i="2"/>
  <c r="N1024" i="2"/>
  <c r="M1024" i="2"/>
  <c r="O1023" i="2"/>
  <c r="N1023" i="2"/>
  <c r="M1023" i="2"/>
  <c r="O1022" i="2"/>
  <c r="N1022" i="2"/>
  <c r="M1022" i="2"/>
  <c r="O1021" i="2"/>
  <c r="N1021" i="2"/>
  <c r="M1021" i="2"/>
  <c r="O1020" i="2"/>
  <c r="N1020" i="2"/>
  <c r="M1020" i="2"/>
  <c r="O1019" i="2"/>
  <c r="N1019" i="2"/>
  <c r="M1019" i="2"/>
  <c r="O1018" i="2"/>
  <c r="N1018" i="2"/>
  <c r="M1018" i="2"/>
  <c r="O1017" i="2"/>
  <c r="N1017" i="2"/>
  <c r="M1017" i="2"/>
  <c r="O1016" i="2"/>
  <c r="N1016" i="2"/>
  <c r="M1016" i="2"/>
  <c r="O1015" i="2"/>
  <c r="N1015" i="2"/>
  <c r="M1015" i="2"/>
  <c r="O1014" i="2"/>
  <c r="N1014" i="2"/>
  <c r="M1014" i="2"/>
  <c r="O1013" i="2"/>
  <c r="N1013" i="2"/>
  <c r="M1013" i="2"/>
  <c r="O1012" i="2"/>
  <c r="N1012" i="2"/>
  <c r="M1012" i="2"/>
  <c r="O1011" i="2"/>
  <c r="N1011" i="2"/>
  <c r="M1011" i="2"/>
  <c r="O1010" i="2"/>
  <c r="N1010" i="2"/>
  <c r="M1010" i="2"/>
  <c r="O1009" i="2"/>
  <c r="N1009" i="2"/>
  <c r="M1009" i="2"/>
  <c r="O1008" i="2"/>
  <c r="N1008" i="2"/>
  <c r="M1008" i="2"/>
  <c r="O1007" i="2"/>
  <c r="N1007" i="2"/>
  <c r="M1007" i="2"/>
  <c r="O1006" i="2"/>
  <c r="N1006" i="2"/>
  <c r="M1006" i="2"/>
  <c r="O1005" i="2"/>
  <c r="N1005" i="2"/>
  <c r="M1005" i="2"/>
  <c r="O1004" i="2"/>
  <c r="N1004" i="2"/>
  <c r="M1004" i="2"/>
  <c r="O1003" i="2"/>
  <c r="N1003" i="2"/>
  <c r="M1003" i="2"/>
  <c r="O1002" i="2"/>
  <c r="N1002" i="2"/>
  <c r="M1002" i="2"/>
  <c r="O1001" i="2"/>
  <c r="N1001" i="2"/>
  <c r="M1001" i="2"/>
  <c r="O1000" i="2"/>
  <c r="N1000" i="2"/>
  <c r="M1000" i="2"/>
  <c r="O999" i="2"/>
  <c r="N999" i="2"/>
  <c r="M999" i="2"/>
  <c r="O998" i="2"/>
  <c r="N998" i="2"/>
  <c r="M998" i="2"/>
  <c r="O997" i="2"/>
  <c r="N997" i="2"/>
  <c r="M997" i="2"/>
  <c r="O996" i="2"/>
  <c r="N996" i="2"/>
  <c r="M996" i="2"/>
  <c r="O995" i="2"/>
  <c r="N995" i="2"/>
  <c r="M995" i="2"/>
  <c r="O994" i="2"/>
  <c r="N994" i="2"/>
  <c r="M994" i="2"/>
  <c r="O993" i="2"/>
  <c r="N993" i="2"/>
  <c r="M993" i="2"/>
  <c r="O992" i="2"/>
  <c r="N992" i="2"/>
  <c r="M992" i="2"/>
  <c r="O991" i="2"/>
  <c r="N991" i="2"/>
  <c r="M991" i="2"/>
  <c r="O990" i="2"/>
  <c r="N990" i="2"/>
  <c r="M990" i="2"/>
  <c r="O989" i="2"/>
  <c r="N989" i="2"/>
  <c r="M989" i="2"/>
  <c r="O988" i="2"/>
  <c r="N988" i="2"/>
  <c r="M988" i="2"/>
  <c r="O987" i="2"/>
  <c r="N987" i="2"/>
  <c r="M987" i="2"/>
  <c r="O986" i="2"/>
  <c r="N986" i="2"/>
  <c r="M986" i="2"/>
  <c r="O985" i="2"/>
  <c r="N985" i="2"/>
  <c r="M985" i="2"/>
  <c r="O984" i="2"/>
  <c r="N984" i="2"/>
  <c r="M984" i="2"/>
  <c r="O983" i="2"/>
  <c r="N983" i="2"/>
  <c r="M983" i="2"/>
  <c r="O982" i="2"/>
  <c r="N982" i="2"/>
  <c r="M982" i="2"/>
  <c r="O981" i="2"/>
  <c r="N981" i="2"/>
  <c r="M981" i="2"/>
  <c r="O980" i="2"/>
  <c r="N980" i="2"/>
  <c r="M980" i="2"/>
  <c r="O979" i="2"/>
  <c r="N979" i="2"/>
  <c r="M979" i="2"/>
  <c r="O978" i="2"/>
  <c r="N978" i="2"/>
  <c r="M978" i="2"/>
  <c r="O977" i="2"/>
  <c r="N977" i="2"/>
  <c r="M977" i="2"/>
  <c r="O976" i="2"/>
  <c r="N976" i="2"/>
  <c r="M976" i="2"/>
  <c r="O975" i="2"/>
  <c r="N975" i="2"/>
  <c r="M975" i="2"/>
  <c r="O974" i="2"/>
  <c r="N974" i="2"/>
  <c r="M974" i="2"/>
  <c r="O973" i="2"/>
  <c r="N973" i="2"/>
  <c r="M973" i="2"/>
  <c r="O972" i="2"/>
  <c r="N972" i="2"/>
  <c r="M972" i="2"/>
  <c r="O971" i="2"/>
  <c r="N971" i="2"/>
  <c r="M971" i="2"/>
  <c r="O970" i="2"/>
  <c r="N970" i="2"/>
  <c r="M970" i="2"/>
  <c r="O969" i="2"/>
  <c r="N969" i="2"/>
  <c r="M969" i="2"/>
  <c r="O968" i="2"/>
  <c r="N968" i="2"/>
  <c r="M968" i="2"/>
  <c r="O967" i="2"/>
  <c r="N967" i="2"/>
  <c r="M967" i="2"/>
  <c r="O966" i="2"/>
  <c r="N966" i="2"/>
  <c r="M966" i="2"/>
  <c r="O965" i="2"/>
  <c r="N965" i="2"/>
  <c r="M965" i="2"/>
  <c r="O964" i="2"/>
  <c r="N964" i="2"/>
  <c r="M964" i="2"/>
  <c r="O963" i="2"/>
  <c r="N963" i="2"/>
  <c r="M963" i="2"/>
  <c r="O962" i="2"/>
  <c r="N962" i="2"/>
  <c r="M962" i="2"/>
  <c r="O961" i="2"/>
  <c r="N961" i="2"/>
  <c r="M961" i="2"/>
  <c r="O960" i="2"/>
  <c r="N960" i="2"/>
  <c r="M960" i="2"/>
  <c r="O959" i="2"/>
  <c r="N959" i="2"/>
  <c r="M959" i="2"/>
  <c r="O958" i="2"/>
  <c r="N958" i="2"/>
  <c r="M958" i="2"/>
  <c r="O957" i="2"/>
  <c r="N957" i="2"/>
  <c r="M957" i="2"/>
  <c r="O956" i="2"/>
  <c r="N956" i="2"/>
  <c r="M956" i="2"/>
  <c r="O955" i="2"/>
  <c r="N955" i="2"/>
  <c r="M955" i="2"/>
  <c r="O954" i="2"/>
  <c r="N954" i="2"/>
  <c r="M954" i="2"/>
  <c r="O953" i="2"/>
  <c r="N953" i="2"/>
  <c r="M953" i="2"/>
  <c r="O952" i="2"/>
  <c r="N952" i="2"/>
  <c r="M952" i="2"/>
  <c r="O951" i="2"/>
  <c r="N951" i="2"/>
  <c r="M951" i="2"/>
  <c r="O950" i="2"/>
  <c r="N950" i="2"/>
  <c r="M950" i="2"/>
  <c r="O949" i="2"/>
  <c r="N949" i="2"/>
  <c r="M949" i="2"/>
  <c r="O948" i="2"/>
  <c r="N948" i="2"/>
  <c r="M948" i="2"/>
  <c r="O947" i="2"/>
  <c r="N947" i="2"/>
  <c r="M947" i="2"/>
  <c r="O946" i="2"/>
  <c r="N946" i="2"/>
  <c r="M946" i="2"/>
  <c r="O945" i="2"/>
  <c r="N945" i="2"/>
  <c r="M945" i="2"/>
  <c r="O944" i="2"/>
  <c r="N944" i="2"/>
  <c r="M944" i="2"/>
  <c r="O943" i="2"/>
  <c r="N943" i="2"/>
  <c r="M943" i="2"/>
  <c r="O942" i="2"/>
  <c r="N942" i="2"/>
  <c r="M942" i="2"/>
  <c r="O941" i="2"/>
  <c r="N941" i="2"/>
  <c r="M941" i="2"/>
  <c r="O940" i="2"/>
  <c r="N940" i="2"/>
  <c r="M940" i="2"/>
  <c r="O939" i="2"/>
  <c r="N939" i="2"/>
  <c r="M939" i="2"/>
  <c r="O938" i="2"/>
  <c r="N938" i="2"/>
  <c r="M938" i="2"/>
  <c r="O937" i="2"/>
  <c r="N937" i="2"/>
  <c r="M937" i="2"/>
  <c r="O936" i="2"/>
  <c r="N936" i="2"/>
  <c r="M936" i="2"/>
  <c r="O935" i="2"/>
  <c r="N935" i="2"/>
  <c r="M935" i="2"/>
  <c r="O934" i="2"/>
  <c r="N934" i="2"/>
  <c r="M934" i="2"/>
  <c r="O933" i="2"/>
  <c r="N933" i="2"/>
  <c r="M933" i="2"/>
  <c r="O932" i="2"/>
  <c r="N932" i="2"/>
  <c r="M932" i="2"/>
  <c r="O931" i="2"/>
  <c r="N931" i="2"/>
  <c r="M931" i="2"/>
  <c r="O930" i="2"/>
  <c r="N930" i="2"/>
  <c r="M930" i="2"/>
  <c r="O929" i="2"/>
  <c r="N929" i="2"/>
  <c r="M929" i="2"/>
  <c r="O928" i="2"/>
  <c r="N928" i="2"/>
  <c r="M928" i="2"/>
  <c r="O927" i="2"/>
  <c r="N927" i="2"/>
  <c r="M927" i="2"/>
  <c r="O926" i="2"/>
  <c r="N926" i="2"/>
  <c r="M926" i="2"/>
  <c r="O925" i="2"/>
  <c r="N925" i="2"/>
  <c r="M925" i="2"/>
  <c r="O924" i="2"/>
  <c r="N924" i="2"/>
  <c r="M924" i="2"/>
  <c r="O923" i="2"/>
  <c r="N923" i="2"/>
  <c r="M923" i="2"/>
  <c r="O922" i="2"/>
  <c r="N922" i="2"/>
  <c r="M922" i="2"/>
  <c r="O921" i="2"/>
  <c r="N921" i="2"/>
  <c r="M921" i="2"/>
  <c r="O920" i="2"/>
  <c r="N920" i="2"/>
  <c r="M920" i="2"/>
  <c r="O919" i="2"/>
  <c r="N919" i="2"/>
  <c r="M919" i="2"/>
  <c r="O918" i="2"/>
  <c r="N918" i="2"/>
  <c r="M918" i="2"/>
  <c r="O917" i="2"/>
  <c r="N917" i="2"/>
  <c r="M917" i="2"/>
  <c r="O916" i="2"/>
  <c r="N916" i="2"/>
  <c r="M916" i="2"/>
  <c r="O915" i="2"/>
  <c r="N915" i="2"/>
  <c r="M915" i="2"/>
  <c r="O914" i="2"/>
  <c r="N914" i="2"/>
  <c r="M914" i="2"/>
  <c r="O913" i="2"/>
  <c r="N913" i="2"/>
  <c r="M913" i="2"/>
  <c r="O912" i="2"/>
  <c r="N912" i="2"/>
  <c r="M912" i="2"/>
  <c r="O911" i="2"/>
  <c r="N911" i="2"/>
  <c r="M911" i="2"/>
  <c r="O910" i="2"/>
  <c r="N910" i="2"/>
  <c r="M910" i="2"/>
  <c r="O909" i="2"/>
  <c r="N909" i="2"/>
  <c r="M909" i="2"/>
  <c r="O908" i="2"/>
  <c r="N908" i="2"/>
  <c r="M908" i="2"/>
  <c r="O907" i="2"/>
  <c r="N907" i="2"/>
  <c r="M907" i="2"/>
  <c r="O906" i="2"/>
  <c r="N906" i="2"/>
  <c r="M906" i="2"/>
  <c r="O905" i="2"/>
  <c r="N905" i="2"/>
  <c r="M905" i="2"/>
  <c r="O904" i="2"/>
  <c r="N904" i="2"/>
  <c r="M904" i="2"/>
  <c r="O903" i="2"/>
  <c r="N903" i="2"/>
  <c r="M903" i="2"/>
  <c r="O902" i="2"/>
  <c r="N902" i="2"/>
  <c r="M902" i="2"/>
  <c r="O901" i="2"/>
  <c r="N901" i="2"/>
  <c r="M901" i="2"/>
  <c r="O900" i="2"/>
  <c r="N900" i="2"/>
  <c r="M900" i="2"/>
  <c r="O899" i="2"/>
  <c r="N899" i="2"/>
  <c r="M899" i="2"/>
  <c r="O898" i="2"/>
  <c r="N898" i="2"/>
  <c r="M898" i="2"/>
  <c r="O897" i="2"/>
  <c r="N897" i="2"/>
  <c r="M897" i="2"/>
  <c r="O896" i="2"/>
  <c r="N896" i="2"/>
  <c r="M896" i="2"/>
  <c r="O895" i="2"/>
  <c r="N895" i="2"/>
  <c r="M895" i="2"/>
  <c r="O894" i="2"/>
  <c r="N894" i="2"/>
  <c r="M894" i="2"/>
  <c r="O893" i="2"/>
  <c r="N893" i="2"/>
  <c r="M893" i="2"/>
  <c r="O892" i="2"/>
  <c r="N892" i="2"/>
  <c r="M892" i="2"/>
  <c r="O891" i="2"/>
  <c r="N891" i="2"/>
  <c r="M891" i="2"/>
  <c r="O890" i="2"/>
  <c r="N890" i="2"/>
  <c r="M890" i="2"/>
  <c r="O889" i="2"/>
  <c r="N889" i="2"/>
  <c r="M889" i="2"/>
  <c r="O888" i="2"/>
  <c r="N888" i="2"/>
  <c r="M888" i="2"/>
  <c r="O887" i="2"/>
  <c r="N887" i="2"/>
  <c r="M887" i="2"/>
  <c r="O886" i="2"/>
  <c r="N886" i="2"/>
  <c r="M886" i="2"/>
  <c r="O885" i="2"/>
  <c r="N885" i="2"/>
  <c r="M885" i="2"/>
  <c r="O884" i="2"/>
  <c r="N884" i="2"/>
  <c r="M884" i="2"/>
  <c r="O883" i="2"/>
  <c r="N883" i="2"/>
  <c r="M883" i="2"/>
  <c r="O882" i="2"/>
  <c r="N882" i="2"/>
  <c r="M882" i="2"/>
  <c r="O881" i="2"/>
  <c r="N881" i="2"/>
  <c r="M881" i="2"/>
  <c r="O880" i="2"/>
  <c r="N880" i="2"/>
  <c r="M880" i="2"/>
  <c r="O879" i="2"/>
  <c r="N879" i="2"/>
  <c r="M879" i="2"/>
  <c r="O878" i="2"/>
  <c r="N878" i="2"/>
  <c r="M878" i="2"/>
  <c r="O877" i="2"/>
  <c r="N877" i="2"/>
  <c r="M877" i="2"/>
  <c r="O876" i="2"/>
  <c r="N876" i="2"/>
  <c r="M876" i="2"/>
  <c r="O875" i="2"/>
  <c r="N875" i="2"/>
  <c r="M875" i="2"/>
  <c r="O874" i="2"/>
  <c r="N874" i="2"/>
  <c r="M874" i="2"/>
  <c r="O873" i="2"/>
  <c r="N873" i="2"/>
  <c r="M873" i="2"/>
  <c r="O872" i="2"/>
  <c r="N872" i="2"/>
  <c r="M872" i="2"/>
  <c r="O871" i="2"/>
  <c r="N871" i="2"/>
  <c r="M871" i="2"/>
  <c r="O870" i="2"/>
  <c r="N870" i="2"/>
  <c r="M870" i="2"/>
  <c r="O869" i="2"/>
  <c r="N869" i="2"/>
  <c r="M869" i="2"/>
  <c r="O868" i="2"/>
  <c r="N868" i="2"/>
  <c r="M868" i="2"/>
  <c r="O867" i="2"/>
  <c r="N867" i="2"/>
  <c r="M867" i="2"/>
  <c r="O866" i="2"/>
  <c r="N866" i="2"/>
  <c r="M866" i="2"/>
  <c r="O865" i="2"/>
  <c r="N865" i="2"/>
  <c r="M865" i="2"/>
  <c r="O864" i="2"/>
  <c r="N864" i="2"/>
  <c r="M864" i="2"/>
  <c r="O863" i="2"/>
  <c r="N863" i="2"/>
  <c r="M863" i="2"/>
  <c r="O862" i="2"/>
  <c r="N862" i="2"/>
  <c r="M862" i="2"/>
  <c r="O861" i="2"/>
  <c r="N861" i="2"/>
  <c r="M861" i="2"/>
  <c r="O860" i="2"/>
  <c r="N860" i="2"/>
  <c r="M860" i="2"/>
  <c r="O859" i="2"/>
  <c r="N859" i="2"/>
  <c r="M859" i="2"/>
  <c r="O858" i="2"/>
  <c r="N858" i="2"/>
  <c r="M858" i="2"/>
  <c r="O857" i="2"/>
  <c r="N857" i="2"/>
  <c r="M857" i="2"/>
  <c r="O856" i="2"/>
  <c r="N856" i="2"/>
  <c r="M856" i="2"/>
  <c r="O855" i="2"/>
  <c r="N855" i="2"/>
  <c r="M855" i="2"/>
  <c r="O854" i="2"/>
  <c r="N854" i="2"/>
  <c r="M854" i="2"/>
  <c r="O853" i="2"/>
  <c r="N853" i="2"/>
  <c r="M853" i="2"/>
  <c r="O852" i="2"/>
  <c r="N852" i="2"/>
  <c r="M852" i="2"/>
  <c r="O851" i="2"/>
  <c r="N851" i="2"/>
  <c r="M851" i="2"/>
  <c r="O850" i="2"/>
  <c r="N850" i="2"/>
  <c r="M850" i="2"/>
  <c r="O849" i="2"/>
  <c r="N849" i="2"/>
  <c r="M849" i="2"/>
  <c r="O848" i="2"/>
  <c r="N848" i="2"/>
  <c r="M848" i="2"/>
  <c r="O847" i="2"/>
  <c r="N847" i="2"/>
  <c r="M847" i="2"/>
  <c r="O846" i="2"/>
  <c r="N846" i="2"/>
  <c r="M846" i="2"/>
  <c r="O845" i="2"/>
  <c r="N845" i="2"/>
  <c r="M845" i="2"/>
  <c r="O844" i="2"/>
  <c r="N844" i="2"/>
  <c r="M844" i="2"/>
  <c r="O843" i="2"/>
  <c r="N843" i="2"/>
  <c r="M843" i="2"/>
  <c r="O842" i="2"/>
  <c r="N842" i="2"/>
  <c r="M842" i="2"/>
  <c r="O841" i="2"/>
  <c r="N841" i="2"/>
  <c r="M841" i="2"/>
  <c r="O840" i="2"/>
  <c r="N840" i="2"/>
  <c r="M840" i="2"/>
  <c r="O839" i="2"/>
  <c r="N839" i="2"/>
  <c r="M839" i="2"/>
  <c r="O838" i="2"/>
  <c r="N838" i="2"/>
  <c r="M838" i="2"/>
  <c r="O837" i="2"/>
  <c r="N837" i="2"/>
  <c r="M837" i="2"/>
  <c r="O836" i="2"/>
  <c r="N836" i="2"/>
  <c r="M836" i="2"/>
  <c r="O835" i="2"/>
  <c r="N835" i="2"/>
  <c r="M835" i="2"/>
  <c r="O834" i="2"/>
  <c r="N834" i="2"/>
  <c r="M834" i="2"/>
  <c r="O833" i="2"/>
  <c r="N833" i="2"/>
  <c r="M833" i="2"/>
  <c r="O832" i="2"/>
  <c r="N832" i="2"/>
  <c r="M832" i="2"/>
  <c r="O831" i="2"/>
  <c r="N831" i="2"/>
  <c r="M831" i="2"/>
  <c r="O830" i="2"/>
  <c r="N830" i="2"/>
  <c r="M830" i="2"/>
  <c r="O829" i="2"/>
  <c r="N829" i="2"/>
  <c r="M829" i="2"/>
  <c r="O828" i="2"/>
  <c r="N828" i="2"/>
  <c r="M828" i="2"/>
  <c r="O827" i="2"/>
  <c r="N827" i="2"/>
  <c r="M827" i="2"/>
  <c r="O826" i="2"/>
  <c r="N826" i="2"/>
  <c r="M826" i="2"/>
  <c r="O825" i="2"/>
  <c r="N825" i="2"/>
  <c r="M825" i="2"/>
  <c r="O824" i="2"/>
  <c r="N824" i="2"/>
  <c r="M824" i="2"/>
  <c r="O823" i="2"/>
  <c r="N823" i="2"/>
  <c r="M823" i="2"/>
  <c r="O822" i="2"/>
  <c r="N822" i="2"/>
  <c r="M822" i="2"/>
  <c r="O821" i="2"/>
  <c r="N821" i="2"/>
  <c r="M821" i="2"/>
  <c r="O820" i="2"/>
  <c r="N820" i="2"/>
  <c r="M820" i="2"/>
  <c r="O819" i="2"/>
  <c r="N819" i="2"/>
  <c r="M819" i="2"/>
  <c r="O818" i="2"/>
  <c r="N818" i="2"/>
  <c r="M818" i="2"/>
  <c r="O817" i="2"/>
  <c r="N817" i="2"/>
  <c r="M817" i="2"/>
  <c r="O816" i="2"/>
  <c r="N816" i="2"/>
  <c r="M816" i="2"/>
  <c r="O815" i="2"/>
  <c r="N815" i="2"/>
  <c r="M815" i="2"/>
  <c r="O814" i="2"/>
  <c r="N814" i="2"/>
  <c r="M814" i="2"/>
  <c r="O813" i="2"/>
  <c r="N813" i="2"/>
  <c r="M813" i="2"/>
  <c r="O812" i="2"/>
  <c r="N812" i="2"/>
  <c r="M812" i="2"/>
  <c r="O811" i="2"/>
  <c r="N811" i="2"/>
  <c r="M811" i="2"/>
  <c r="O810" i="2"/>
  <c r="N810" i="2"/>
  <c r="M810" i="2"/>
  <c r="O809" i="2"/>
  <c r="N809" i="2"/>
  <c r="M809" i="2"/>
  <c r="O808" i="2"/>
  <c r="N808" i="2"/>
  <c r="M808" i="2"/>
  <c r="O807" i="2"/>
  <c r="N807" i="2"/>
  <c r="M807" i="2"/>
  <c r="O806" i="2"/>
  <c r="N806" i="2"/>
  <c r="M806" i="2"/>
  <c r="O805" i="2"/>
  <c r="N805" i="2"/>
  <c r="M805" i="2"/>
  <c r="O804" i="2"/>
  <c r="N804" i="2"/>
  <c r="M804" i="2"/>
  <c r="O803" i="2"/>
  <c r="N803" i="2"/>
  <c r="M803" i="2"/>
  <c r="O802" i="2"/>
  <c r="N802" i="2"/>
  <c r="M802" i="2"/>
  <c r="O801" i="2"/>
  <c r="N801" i="2"/>
  <c r="M801" i="2"/>
  <c r="O800" i="2"/>
  <c r="N800" i="2"/>
  <c r="M800" i="2"/>
  <c r="O799" i="2"/>
  <c r="N799" i="2"/>
  <c r="M799" i="2"/>
  <c r="O798" i="2"/>
  <c r="N798" i="2"/>
  <c r="M798" i="2"/>
  <c r="O797" i="2"/>
  <c r="N797" i="2"/>
  <c r="M797" i="2"/>
  <c r="O796" i="2"/>
  <c r="N796" i="2"/>
  <c r="M796" i="2"/>
  <c r="O795" i="2"/>
  <c r="N795" i="2"/>
  <c r="M795" i="2"/>
  <c r="O794" i="2"/>
  <c r="N794" i="2"/>
  <c r="M794" i="2"/>
  <c r="O793" i="2"/>
  <c r="N793" i="2"/>
  <c r="M793" i="2"/>
  <c r="O792" i="2"/>
  <c r="N792" i="2"/>
  <c r="M792" i="2"/>
  <c r="O791" i="2"/>
  <c r="N791" i="2"/>
  <c r="M791" i="2"/>
  <c r="O790" i="2"/>
  <c r="N790" i="2"/>
  <c r="M790" i="2"/>
  <c r="O789" i="2"/>
  <c r="N789" i="2"/>
  <c r="M789" i="2"/>
  <c r="O788" i="2"/>
  <c r="N788" i="2"/>
  <c r="M788" i="2"/>
  <c r="O787" i="2"/>
  <c r="N787" i="2"/>
  <c r="M787" i="2"/>
  <c r="O786" i="2"/>
  <c r="N786" i="2"/>
  <c r="M786" i="2"/>
  <c r="O785" i="2"/>
  <c r="N785" i="2"/>
  <c r="M785" i="2"/>
  <c r="O784" i="2"/>
  <c r="N784" i="2"/>
  <c r="M784" i="2"/>
  <c r="O783" i="2"/>
  <c r="N783" i="2"/>
  <c r="M783" i="2"/>
  <c r="O782" i="2"/>
  <c r="N782" i="2"/>
  <c r="M782" i="2"/>
  <c r="O781" i="2"/>
  <c r="N781" i="2"/>
  <c r="M781" i="2"/>
  <c r="O780" i="2"/>
  <c r="N780" i="2"/>
  <c r="M780" i="2"/>
  <c r="O779" i="2"/>
  <c r="N779" i="2"/>
  <c r="M779" i="2"/>
  <c r="O778" i="2"/>
  <c r="N778" i="2"/>
  <c r="M778" i="2"/>
  <c r="O777" i="2"/>
  <c r="N777" i="2"/>
  <c r="M777" i="2"/>
  <c r="O776" i="2"/>
  <c r="N776" i="2"/>
  <c r="M776" i="2"/>
  <c r="O775" i="2"/>
  <c r="N775" i="2"/>
  <c r="M775" i="2"/>
  <c r="O774" i="2"/>
  <c r="N774" i="2"/>
  <c r="M774" i="2"/>
  <c r="O773" i="2"/>
  <c r="N773" i="2"/>
  <c r="M773" i="2"/>
  <c r="O772" i="2"/>
  <c r="N772" i="2"/>
  <c r="M772" i="2"/>
  <c r="O771" i="2"/>
  <c r="N771" i="2"/>
  <c r="M771" i="2"/>
  <c r="O770" i="2"/>
  <c r="N770" i="2"/>
  <c r="M770" i="2"/>
  <c r="O769" i="2"/>
  <c r="N769" i="2"/>
  <c r="M769" i="2"/>
  <c r="O768" i="2"/>
  <c r="N768" i="2"/>
  <c r="M768" i="2"/>
  <c r="O767" i="2"/>
  <c r="N767" i="2"/>
  <c r="M767" i="2"/>
  <c r="O766" i="2"/>
  <c r="N766" i="2"/>
  <c r="M766" i="2"/>
  <c r="O765" i="2"/>
  <c r="N765" i="2"/>
  <c r="M765" i="2"/>
  <c r="O764" i="2"/>
  <c r="N764" i="2"/>
  <c r="M764" i="2"/>
  <c r="O763" i="2"/>
  <c r="N763" i="2"/>
  <c r="M763" i="2"/>
  <c r="O762" i="2"/>
  <c r="N762" i="2"/>
  <c r="M762" i="2"/>
  <c r="O761" i="2"/>
  <c r="N761" i="2"/>
  <c r="M761" i="2"/>
  <c r="O760" i="2"/>
  <c r="N760" i="2"/>
  <c r="M760" i="2"/>
  <c r="O759" i="2"/>
  <c r="N759" i="2"/>
  <c r="M759" i="2"/>
  <c r="O758" i="2"/>
  <c r="N758" i="2"/>
  <c r="M758" i="2"/>
  <c r="O757" i="2"/>
  <c r="N757" i="2"/>
  <c r="M757" i="2"/>
  <c r="O756" i="2"/>
  <c r="N756" i="2"/>
  <c r="M756" i="2"/>
  <c r="O755" i="2"/>
  <c r="N755" i="2"/>
  <c r="M755" i="2"/>
  <c r="O754" i="2"/>
  <c r="N754" i="2"/>
  <c r="M754" i="2"/>
  <c r="O753" i="2"/>
  <c r="N753" i="2"/>
  <c r="M753" i="2"/>
  <c r="O752" i="2"/>
  <c r="N752" i="2"/>
  <c r="M752" i="2"/>
  <c r="O751" i="2"/>
  <c r="N751" i="2"/>
  <c r="M751" i="2"/>
  <c r="O750" i="2"/>
  <c r="N750" i="2"/>
  <c r="M750" i="2"/>
  <c r="O749" i="2"/>
  <c r="N749" i="2"/>
  <c r="M749" i="2"/>
  <c r="O748" i="2"/>
  <c r="N748" i="2"/>
  <c r="M748" i="2"/>
  <c r="O747" i="2"/>
  <c r="N747" i="2"/>
  <c r="M747" i="2"/>
  <c r="O746" i="2"/>
  <c r="N746" i="2"/>
  <c r="M746" i="2"/>
  <c r="O745" i="2"/>
  <c r="N745" i="2"/>
  <c r="M745" i="2"/>
  <c r="O744" i="2"/>
  <c r="N744" i="2"/>
  <c r="M744" i="2"/>
  <c r="O743" i="2"/>
  <c r="N743" i="2"/>
  <c r="M743" i="2"/>
  <c r="O742" i="2"/>
  <c r="N742" i="2"/>
  <c r="M742" i="2"/>
  <c r="O741" i="2"/>
  <c r="N741" i="2"/>
  <c r="M741" i="2"/>
  <c r="O740" i="2"/>
  <c r="N740" i="2"/>
  <c r="M740" i="2"/>
  <c r="O739" i="2"/>
  <c r="N739" i="2"/>
  <c r="M739" i="2"/>
  <c r="O738" i="2"/>
  <c r="N738" i="2"/>
  <c r="M738" i="2"/>
  <c r="O737" i="2"/>
  <c r="N737" i="2"/>
  <c r="M737" i="2"/>
  <c r="O736" i="2"/>
  <c r="N736" i="2"/>
  <c r="M736" i="2"/>
  <c r="O735" i="2"/>
  <c r="N735" i="2"/>
  <c r="M735" i="2"/>
  <c r="O734" i="2"/>
  <c r="N734" i="2"/>
  <c r="M734" i="2"/>
  <c r="O733" i="2"/>
  <c r="N733" i="2"/>
  <c r="M733" i="2"/>
  <c r="O732" i="2"/>
  <c r="N732" i="2"/>
  <c r="M732" i="2"/>
  <c r="O731" i="2"/>
  <c r="N731" i="2"/>
  <c r="M731" i="2"/>
  <c r="O730" i="2"/>
  <c r="N730" i="2"/>
  <c r="M730" i="2"/>
  <c r="O729" i="2"/>
  <c r="N729" i="2"/>
  <c r="M729" i="2"/>
  <c r="O728" i="2"/>
  <c r="N728" i="2"/>
  <c r="M728" i="2"/>
  <c r="O727" i="2"/>
  <c r="N727" i="2"/>
  <c r="M727" i="2"/>
  <c r="O726" i="2"/>
  <c r="N726" i="2"/>
  <c r="M726" i="2"/>
  <c r="O725" i="2"/>
  <c r="N725" i="2"/>
  <c r="M725" i="2"/>
  <c r="O724" i="2"/>
  <c r="N724" i="2"/>
  <c r="M724" i="2"/>
  <c r="O723" i="2"/>
  <c r="N723" i="2"/>
  <c r="M723" i="2"/>
  <c r="O722" i="2"/>
  <c r="N722" i="2"/>
  <c r="M722" i="2"/>
  <c r="O721" i="2"/>
  <c r="N721" i="2"/>
  <c r="M721" i="2"/>
  <c r="O720" i="2"/>
  <c r="N720" i="2"/>
  <c r="M720" i="2"/>
  <c r="O719" i="2"/>
  <c r="N719" i="2"/>
  <c r="M719" i="2"/>
  <c r="O718" i="2"/>
  <c r="N718" i="2"/>
  <c r="M718" i="2"/>
  <c r="O717" i="2"/>
  <c r="N717" i="2"/>
  <c r="M717" i="2"/>
  <c r="O716" i="2"/>
  <c r="N716" i="2"/>
  <c r="M716" i="2"/>
  <c r="O715" i="2"/>
  <c r="N715" i="2"/>
  <c r="M715" i="2"/>
  <c r="O714" i="2"/>
  <c r="N714" i="2"/>
  <c r="M714" i="2"/>
  <c r="O713" i="2"/>
  <c r="N713" i="2"/>
  <c r="M713" i="2"/>
  <c r="O712" i="2"/>
  <c r="N712" i="2"/>
  <c r="M712" i="2"/>
  <c r="O711" i="2"/>
  <c r="N711" i="2"/>
  <c r="M711" i="2"/>
  <c r="O710" i="2"/>
  <c r="N710" i="2"/>
  <c r="M710" i="2"/>
  <c r="O709" i="2"/>
  <c r="N709" i="2"/>
  <c r="M709" i="2"/>
  <c r="O708" i="2"/>
  <c r="N708" i="2"/>
  <c r="M708" i="2"/>
  <c r="O707" i="2"/>
  <c r="N707" i="2"/>
  <c r="M707" i="2"/>
  <c r="O706" i="2"/>
  <c r="N706" i="2"/>
  <c r="M706" i="2"/>
  <c r="O705" i="2"/>
  <c r="N705" i="2"/>
  <c r="M705" i="2"/>
  <c r="O704" i="2"/>
  <c r="N704" i="2"/>
  <c r="M704" i="2"/>
  <c r="O703" i="2"/>
  <c r="N703" i="2"/>
  <c r="M703" i="2"/>
  <c r="O702" i="2"/>
  <c r="N702" i="2"/>
  <c r="M702" i="2"/>
  <c r="O701" i="2"/>
  <c r="N701" i="2"/>
  <c r="M701" i="2"/>
  <c r="O700" i="2"/>
  <c r="N700" i="2"/>
  <c r="M700" i="2"/>
  <c r="O699" i="2"/>
  <c r="N699" i="2"/>
  <c r="M699" i="2"/>
  <c r="O698" i="2"/>
  <c r="N698" i="2"/>
  <c r="M698" i="2"/>
  <c r="O697" i="2"/>
  <c r="N697" i="2"/>
  <c r="M697" i="2"/>
  <c r="O696" i="2"/>
  <c r="N696" i="2"/>
  <c r="M696" i="2"/>
  <c r="O695" i="2"/>
  <c r="N695" i="2"/>
  <c r="M695" i="2"/>
  <c r="O694" i="2"/>
  <c r="N694" i="2"/>
  <c r="M694" i="2"/>
  <c r="O693" i="2"/>
  <c r="N693" i="2"/>
  <c r="M693" i="2"/>
  <c r="O692" i="2"/>
  <c r="N692" i="2"/>
  <c r="M692" i="2"/>
  <c r="O691" i="2"/>
  <c r="N691" i="2"/>
  <c r="M691" i="2"/>
  <c r="O690" i="2"/>
  <c r="N690" i="2"/>
  <c r="M690" i="2"/>
  <c r="O689" i="2"/>
  <c r="N689" i="2"/>
  <c r="M689" i="2"/>
  <c r="O688" i="2"/>
  <c r="N688" i="2"/>
  <c r="M688" i="2"/>
  <c r="O687" i="2"/>
  <c r="N687" i="2"/>
  <c r="M687" i="2"/>
  <c r="O686" i="2"/>
  <c r="N686" i="2"/>
  <c r="M686" i="2"/>
  <c r="O685" i="2"/>
  <c r="N685" i="2"/>
  <c r="M685" i="2"/>
  <c r="O684" i="2"/>
  <c r="N684" i="2"/>
  <c r="M684" i="2"/>
  <c r="O683" i="2"/>
  <c r="N683" i="2"/>
  <c r="M683" i="2"/>
  <c r="O682" i="2"/>
  <c r="N682" i="2"/>
  <c r="M682" i="2"/>
  <c r="O681" i="2"/>
  <c r="N681" i="2"/>
  <c r="M681" i="2"/>
  <c r="O680" i="2"/>
  <c r="N680" i="2"/>
  <c r="M680" i="2"/>
  <c r="O679" i="2"/>
  <c r="N679" i="2"/>
  <c r="M679" i="2"/>
  <c r="O678" i="2"/>
  <c r="N678" i="2"/>
  <c r="M678" i="2"/>
  <c r="O677" i="2"/>
  <c r="N677" i="2"/>
  <c r="M677" i="2"/>
  <c r="O676" i="2"/>
  <c r="N676" i="2"/>
  <c r="M676" i="2"/>
  <c r="O675" i="2"/>
  <c r="N675" i="2"/>
  <c r="M675" i="2"/>
  <c r="O674" i="2"/>
  <c r="N674" i="2"/>
  <c r="M674" i="2"/>
  <c r="O673" i="2"/>
  <c r="N673" i="2"/>
  <c r="M673" i="2"/>
  <c r="O672" i="2"/>
  <c r="N672" i="2"/>
  <c r="M672" i="2"/>
  <c r="O671" i="2"/>
  <c r="N671" i="2"/>
  <c r="M671" i="2"/>
  <c r="O670" i="2"/>
  <c r="N670" i="2"/>
  <c r="M670" i="2"/>
  <c r="O669" i="2"/>
  <c r="N669" i="2"/>
  <c r="M669" i="2"/>
  <c r="O668" i="2"/>
  <c r="N668" i="2"/>
  <c r="M668" i="2"/>
  <c r="O667" i="2"/>
  <c r="N667" i="2"/>
  <c r="M667" i="2"/>
  <c r="O666" i="2"/>
  <c r="N666" i="2"/>
  <c r="M666" i="2"/>
  <c r="O665" i="2"/>
  <c r="N665" i="2"/>
  <c r="M665" i="2"/>
  <c r="O664" i="2"/>
  <c r="N664" i="2"/>
  <c r="M664" i="2"/>
  <c r="O663" i="2"/>
  <c r="N663" i="2"/>
  <c r="M663" i="2"/>
  <c r="O662" i="2"/>
  <c r="N662" i="2"/>
  <c r="M662" i="2"/>
  <c r="O661" i="2"/>
  <c r="N661" i="2"/>
  <c r="M661" i="2"/>
  <c r="O660" i="2"/>
  <c r="N660" i="2"/>
  <c r="M660" i="2"/>
  <c r="O659" i="2"/>
  <c r="N659" i="2"/>
  <c r="M659" i="2"/>
  <c r="O658" i="2"/>
  <c r="N658" i="2"/>
  <c r="M658" i="2"/>
  <c r="O657" i="2"/>
  <c r="N657" i="2"/>
  <c r="M657" i="2"/>
  <c r="O656" i="2"/>
  <c r="N656" i="2"/>
  <c r="M656" i="2"/>
  <c r="O655" i="2"/>
  <c r="N655" i="2"/>
  <c r="M655" i="2"/>
  <c r="O654" i="2"/>
  <c r="N654" i="2"/>
  <c r="M654" i="2"/>
  <c r="O653" i="2"/>
  <c r="N653" i="2"/>
  <c r="M653" i="2"/>
  <c r="O652" i="2"/>
  <c r="N652" i="2"/>
  <c r="M652" i="2"/>
  <c r="O651" i="2"/>
  <c r="N651" i="2"/>
  <c r="M651" i="2"/>
  <c r="O650" i="2"/>
  <c r="N650" i="2"/>
  <c r="M650" i="2"/>
  <c r="O649" i="2"/>
  <c r="N649" i="2"/>
  <c r="M649" i="2"/>
  <c r="O648" i="2"/>
  <c r="N648" i="2"/>
  <c r="M648" i="2"/>
  <c r="O647" i="2"/>
  <c r="N647" i="2"/>
  <c r="M647" i="2"/>
  <c r="O646" i="2"/>
  <c r="N646" i="2"/>
  <c r="M646" i="2"/>
  <c r="O645" i="2"/>
  <c r="N645" i="2"/>
  <c r="M645" i="2"/>
  <c r="O644" i="2"/>
  <c r="N644" i="2"/>
  <c r="M644" i="2"/>
  <c r="O643" i="2"/>
  <c r="N643" i="2"/>
  <c r="M643" i="2"/>
  <c r="O642" i="2"/>
  <c r="N642" i="2"/>
  <c r="M642" i="2"/>
  <c r="O641" i="2"/>
  <c r="N641" i="2"/>
  <c r="M641" i="2"/>
  <c r="O640" i="2"/>
  <c r="N640" i="2"/>
  <c r="M640" i="2"/>
  <c r="O639" i="2"/>
  <c r="N639" i="2"/>
  <c r="M639" i="2"/>
  <c r="O638" i="2"/>
  <c r="N638" i="2"/>
  <c r="M638" i="2"/>
  <c r="O637" i="2"/>
  <c r="N637" i="2"/>
  <c r="M637" i="2"/>
  <c r="O636" i="2"/>
  <c r="N636" i="2"/>
  <c r="M636" i="2"/>
  <c r="O635" i="2"/>
  <c r="N635" i="2"/>
  <c r="M635" i="2"/>
  <c r="O634" i="2"/>
  <c r="N634" i="2"/>
  <c r="M634" i="2"/>
  <c r="O633" i="2"/>
  <c r="N633" i="2"/>
  <c r="M633" i="2"/>
  <c r="O632" i="2"/>
  <c r="N632" i="2"/>
  <c r="M632" i="2"/>
  <c r="O631" i="2"/>
  <c r="N631" i="2"/>
  <c r="M631" i="2"/>
  <c r="O630" i="2"/>
  <c r="N630" i="2"/>
  <c r="M630" i="2"/>
  <c r="O629" i="2"/>
  <c r="N629" i="2"/>
  <c r="M629" i="2"/>
  <c r="O628" i="2"/>
  <c r="N628" i="2"/>
  <c r="M628" i="2"/>
  <c r="O627" i="2"/>
  <c r="N627" i="2"/>
  <c r="M627" i="2"/>
  <c r="O626" i="2"/>
  <c r="N626" i="2"/>
  <c r="M626" i="2"/>
  <c r="O625" i="2"/>
  <c r="N625" i="2"/>
  <c r="M625" i="2"/>
  <c r="O624" i="2"/>
  <c r="N624" i="2"/>
  <c r="M624" i="2"/>
  <c r="O623" i="2"/>
  <c r="N623" i="2"/>
  <c r="M623" i="2"/>
  <c r="O622" i="2"/>
  <c r="N622" i="2"/>
  <c r="M622" i="2"/>
  <c r="O621" i="2"/>
  <c r="N621" i="2"/>
  <c r="M621" i="2"/>
  <c r="O620" i="2"/>
  <c r="N620" i="2"/>
  <c r="M620" i="2"/>
  <c r="O619" i="2"/>
  <c r="N619" i="2"/>
  <c r="M619" i="2"/>
  <c r="O618" i="2"/>
  <c r="N618" i="2"/>
  <c r="M618" i="2"/>
  <c r="O617" i="2"/>
  <c r="N617" i="2"/>
  <c r="M617" i="2"/>
  <c r="O616" i="2"/>
  <c r="N616" i="2"/>
  <c r="M616" i="2"/>
  <c r="O615" i="2"/>
  <c r="N615" i="2"/>
  <c r="M615" i="2"/>
  <c r="O614" i="2"/>
  <c r="N614" i="2"/>
  <c r="M614" i="2"/>
  <c r="O613" i="2"/>
  <c r="N613" i="2"/>
  <c r="M613" i="2"/>
  <c r="O612" i="2"/>
  <c r="N612" i="2"/>
  <c r="M612" i="2"/>
  <c r="O611" i="2"/>
  <c r="N611" i="2"/>
  <c r="M611" i="2"/>
  <c r="O610" i="2"/>
  <c r="N610" i="2"/>
  <c r="M610" i="2"/>
  <c r="O609" i="2"/>
  <c r="N609" i="2"/>
  <c r="M609" i="2"/>
  <c r="O608" i="2"/>
  <c r="N608" i="2"/>
  <c r="M608" i="2"/>
  <c r="O607" i="2"/>
  <c r="N607" i="2"/>
  <c r="M607" i="2"/>
  <c r="O606" i="2"/>
  <c r="N606" i="2"/>
  <c r="M606" i="2"/>
  <c r="O605" i="2"/>
  <c r="N605" i="2"/>
  <c r="M605" i="2"/>
  <c r="O604" i="2"/>
  <c r="N604" i="2"/>
  <c r="M604" i="2"/>
  <c r="O603" i="2"/>
  <c r="N603" i="2"/>
  <c r="M603" i="2"/>
  <c r="O602" i="2"/>
  <c r="N602" i="2"/>
  <c r="M602" i="2"/>
  <c r="O601" i="2"/>
  <c r="N601" i="2"/>
  <c r="M601" i="2"/>
  <c r="O600" i="2"/>
  <c r="N600" i="2"/>
  <c r="M600" i="2"/>
  <c r="O599" i="2"/>
  <c r="N599" i="2"/>
  <c r="M599" i="2"/>
  <c r="O598" i="2"/>
  <c r="N598" i="2"/>
  <c r="M598" i="2"/>
  <c r="O597" i="2"/>
  <c r="N597" i="2"/>
  <c r="M597" i="2"/>
  <c r="O596" i="2"/>
  <c r="N596" i="2"/>
  <c r="M596" i="2"/>
  <c r="O595" i="2"/>
  <c r="N595" i="2"/>
  <c r="M595" i="2"/>
  <c r="O594" i="2"/>
  <c r="N594" i="2"/>
  <c r="M594" i="2"/>
  <c r="O593" i="2"/>
  <c r="N593" i="2"/>
  <c r="M593" i="2"/>
  <c r="O592" i="2"/>
  <c r="N592" i="2"/>
  <c r="M592" i="2"/>
  <c r="O591" i="2"/>
  <c r="N591" i="2"/>
  <c r="M591" i="2"/>
  <c r="O590" i="2"/>
  <c r="N590" i="2"/>
  <c r="M590" i="2"/>
  <c r="O589" i="2"/>
  <c r="N589" i="2"/>
  <c r="M589" i="2"/>
  <c r="O588" i="2"/>
  <c r="N588" i="2"/>
  <c r="M588" i="2"/>
  <c r="O587" i="2"/>
  <c r="N587" i="2"/>
  <c r="M587" i="2"/>
  <c r="O586" i="2"/>
  <c r="N586" i="2"/>
  <c r="M586" i="2"/>
  <c r="O585" i="2"/>
  <c r="N585" i="2"/>
  <c r="M585" i="2"/>
  <c r="O584" i="2"/>
  <c r="N584" i="2"/>
  <c r="M584" i="2"/>
  <c r="O583" i="2"/>
  <c r="N583" i="2"/>
  <c r="M583" i="2"/>
  <c r="O582" i="2"/>
  <c r="N582" i="2"/>
  <c r="M582" i="2"/>
  <c r="O581" i="2"/>
  <c r="N581" i="2"/>
  <c r="M581" i="2"/>
  <c r="O580" i="2"/>
  <c r="N580" i="2"/>
  <c r="M580" i="2"/>
  <c r="O579" i="2"/>
  <c r="N579" i="2"/>
  <c r="M579" i="2"/>
  <c r="O578" i="2"/>
  <c r="N578" i="2"/>
  <c r="M578" i="2"/>
  <c r="O577" i="2"/>
  <c r="N577" i="2"/>
  <c r="M577" i="2"/>
  <c r="O576" i="2"/>
  <c r="N576" i="2"/>
  <c r="M576" i="2"/>
  <c r="O575" i="2"/>
  <c r="N575" i="2"/>
  <c r="M575" i="2"/>
  <c r="O574" i="2"/>
  <c r="N574" i="2"/>
  <c r="M574" i="2"/>
  <c r="O573" i="2"/>
  <c r="N573" i="2"/>
  <c r="M573" i="2"/>
  <c r="O572" i="2"/>
  <c r="N572" i="2"/>
  <c r="M572" i="2"/>
  <c r="O571" i="2"/>
  <c r="N571" i="2"/>
  <c r="M571" i="2"/>
  <c r="O570" i="2"/>
  <c r="N570" i="2"/>
  <c r="M570" i="2"/>
  <c r="O569" i="2"/>
  <c r="N569" i="2"/>
  <c r="M569" i="2"/>
  <c r="O568" i="2"/>
  <c r="N568" i="2"/>
  <c r="M568" i="2"/>
  <c r="O567" i="2"/>
  <c r="N567" i="2"/>
  <c r="M567" i="2"/>
  <c r="O566" i="2"/>
  <c r="N566" i="2"/>
  <c r="M566" i="2"/>
  <c r="O565" i="2"/>
  <c r="N565" i="2"/>
  <c r="M565" i="2"/>
  <c r="O564" i="2"/>
  <c r="N564" i="2"/>
  <c r="M564" i="2"/>
  <c r="O563" i="2"/>
  <c r="N563" i="2"/>
  <c r="M563" i="2"/>
  <c r="O562" i="2"/>
  <c r="N562" i="2"/>
  <c r="M562" i="2"/>
  <c r="O561" i="2"/>
  <c r="N561" i="2"/>
  <c r="M561" i="2"/>
  <c r="O560" i="2"/>
  <c r="N560" i="2"/>
  <c r="M560" i="2"/>
  <c r="O559" i="2"/>
  <c r="N559" i="2"/>
  <c r="M559" i="2"/>
  <c r="O558" i="2"/>
  <c r="N558" i="2"/>
  <c r="M558" i="2"/>
  <c r="O557" i="2"/>
  <c r="N557" i="2"/>
  <c r="M557" i="2"/>
  <c r="O556" i="2"/>
  <c r="N556" i="2"/>
  <c r="M556" i="2"/>
  <c r="O555" i="2"/>
  <c r="N555" i="2"/>
  <c r="M555" i="2"/>
  <c r="O554" i="2"/>
  <c r="N554" i="2"/>
  <c r="M554" i="2"/>
  <c r="O553" i="2"/>
  <c r="N553" i="2"/>
  <c r="M553" i="2"/>
  <c r="O552" i="2"/>
  <c r="N552" i="2"/>
  <c r="M552" i="2"/>
  <c r="O551" i="2"/>
  <c r="N551" i="2"/>
  <c r="M551" i="2"/>
  <c r="O550" i="2"/>
  <c r="N550" i="2"/>
  <c r="M550" i="2"/>
  <c r="O549" i="2"/>
  <c r="N549" i="2"/>
  <c r="M549" i="2"/>
  <c r="O548" i="2"/>
  <c r="N548" i="2"/>
  <c r="M548" i="2"/>
  <c r="O547" i="2"/>
  <c r="N547" i="2"/>
  <c r="M547" i="2"/>
  <c r="O546" i="2"/>
  <c r="N546" i="2"/>
  <c r="M546" i="2"/>
  <c r="O545" i="2"/>
  <c r="N545" i="2"/>
  <c r="M545" i="2"/>
  <c r="O544" i="2"/>
  <c r="N544" i="2"/>
  <c r="M544" i="2"/>
  <c r="O543" i="2"/>
  <c r="N543" i="2"/>
  <c r="M543" i="2"/>
  <c r="O542" i="2"/>
  <c r="N542" i="2"/>
  <c r="M542" i="2"/>
  <c r="O541" i="2"/>
  <c r="N541" i="2"/>
  <c r="M541" i="2"/>
  <c r="O540" i="2"/>
  <c r="N540" i="2"/>
  <c r="M540" i="2"/>
  <c r="O539" i="2"/>
  <c r="N539" i="2"/>
  <c r="M539" i="2"/>
  <c r="O538" i="2"/>
  <c r="N538" i="2"/>
  <c r="M538" i="2"/>
  <c r="O537" i="2"/>
  <c r="N537" i="2"/>
  <c r="M537" i="2"/>
  <c r="O536" i="2"/>
  <c r="N536" i="2"/>
  <c r="M536" i="2"/>
  <c r="O535" i="2"/>
  <c r="N535" i="2"/>
  <c r="M535" i="2"/>
  <c r="O534" i="2"/>
  <c r="N534" i="2"/>
  <c r="M534" i="2"/>
  <c r="O533" i="2"/>
  <c r="N533" i="2"/>
  <c r="M533" i="2"/>
  <c r="O532" i="2"/>
  <c r="N532" i="2"/>
  <c r="M532" i="2"/>
  <c r="O531" i="2"/>
  <c r="N531" i="2"/>
  <c r="M531" i="2"/>
  <c r="O530" i="2"/>
  <c r="N530" i="2"/>
  <c r="M530" i="2"/>
  <c r="O529" i="2"/>
  <c r="N529" i="2"/>
  <c r="M529" i="2"/>
  <c r="O528" i="2"/>
  <c r="N528" i="2"/>
  <c r="M528" i="2"/>
  <c r="O527" i="2"/>
  <c r="N527" i="2"/>
  <c r="M527" i="2"/>
  <c r="O526" i="2"/>
  <c r="N526" i="2"/>
  <c r="M526" i="2"/>
  <c r="O525" i="2"/>
  <c r="N525" i="2"/>
  <c r="M525" i="2"/>
  <c r="O524" i="2"/>
  <c r="N524" i="2"/>
  <c r="M524" i="2"/>
  <c r="O523" i="2"/>
  <c r="N523" i="2"/>
  <c r="M523" i="2"/>
  <c r="O522" i="2"/>
  <c r="N522" i="2"/>
  <c r="M522" i="2"/>
  <c r="O521" i="2"/>
  <c r="N521" i="2"/>
  <c r="M521" i="2"/>
  <c r="O520" i="2"/>
  <c r="N520" i="2"/>
  <c r="M520" i="2"/>
  <c r="O519" i="2"/>
  <c r="N519" i="2"/>
  <c r="M519" i="2"/>
  <c r="O518" i="2"/>
  <c r="N518" i="2"/>
  <c r="M518" i="2"/>
  <c r="O517" i="2"/>
  <c r="N517" i="2"/>
  <c r="M517" i="2"/>
  <c r="O516" i="2"/>
  <c r="N516" i="2"/>
  <c r="M516" i="2"/>
  <c r="O515" i="2"/>
  <c r="N515" i="2"/>
  <c r="M515" i="2"/>
  <c r="O514" i="2"/>
  <c r="N514" i="2"/>
  <c r="M514" i="2"/>
  <c r="O513" i="2"/>
  <c r="N513" i="2"/>
  <c r="M513" i="2"/>
  <c r="O512" i="2"/>
  <c r="N512" i="2"/>
  <c r="M512" i="2"/>
  <c r="O511" i="2"/>
  <c r="N511" i="2"/>
  <c r="M511" i="2"/>
  <c r="O510" i="2"/>
  <c r="N510" i="2"/>
  <c r="M510" i="2"/>
  <c r="O509" i="2"/>
  <c r="N509" i="2"/>
  <c r="M509" i="2"/>
  <c r="O508" i="2"/>
  <c r="N508" i="2"/>
  <c r="M508" i="2"/>
  <c r="O507" i="2"/>
  <c r="N507" i="2"/>
  <c r="M507" i="2"/>
  <c r="O506" i="2"/>
  <c r="N506" i="2"/>
  <c r="M506" i="2"/>
  <c r="O505" i="2"/>
  <c r="N505" i="2"/>
  <c r="M505" i="2"/>
  <c r="O504" i="2"/>
  <c r="N504" i="2"/>
  <c r="M504" i="2"/>
  <c r="O503" i="2"/>
  <c r="N503" i="2"/>
  <c r="M503" i="2"/>
  <c r="O502" i="2"/>
  <c r="N502" i="2"/>
  <c r="M502" i="2"/>
  <c r="O501" i="2"/>
  <c r="N501" i="2"/>
  <c r="M501" i="2"/>
  <c r="O500" i="2"/>
  <c r="N500" i="2"/>
  <c r="M500" i="2"/>
  <c r="O499" i="2"/>
  <c r="N499" i="2"/>
  <c r="M499" i="2"/>
  <c r="O498" i="2"/>
  <c r="N498" i="2"/>
  <c r="M498" i="2"/>
  <c r="O497" i="2"/>
  <c r="N497" i="2"/>
  <c r="M497" i="2"/>
  <c r="O496" i="2"/>
  <c r="N496" i="2"/>
  <c r="M496" i="2"/>
  <c r="O495" i="2"/>
  <c r="N495" i="2"/>
  <c r="M495" i="2"/>
  <c r="O494" i="2"/>
  <c r="N494" i="2"/>
  <c r="M494" i="2"/>
  <c r="O493" i="2"/>
  <c r="N493" i="2"/>
  <c r="M493" i="2"/>
  <c r="O492" i="2"/>
  <c r="N492" i="2"/>
  <c r="M492" i="2"/>
  <c r="O491" i="2"/>
  <c r="N491" i="2"/>
  <c r="M491" i="2"/>
  <c r="O490" i="2"/>
  <c r="N490" i="2"/>
  <c r="M490" i="2"/>
  <c r="O489" i="2"/>
  <c r="N489" i="2"/>
  <c r="M489" i="2"/>
  <c r="O488" i="2"/>
  <c r="N488" i="2"/>
  <c r="M488" i="2"/>
  <c r="O487" i="2"/>
  <c r="N487" i="2"/>
  <c r="M487" i="2"/>
  <c r="O486" i="2"/>
  <c r="N486" i="2"/>
  <c r="M486" i="2"/>
  <c r="O485" i="2"/>
  <c r="N485" i="2"/>
  <c r="M485" i="2"/>
  <c r="O484" i="2"/>
  <c r="N484" i="2"/>
  <c r="M484" i="2"/>
  <c r="O483" i="2"/>
  <c r="N483" i="2"/>
  <c r="M483" i="2"/>
  <c r="O482" i="2"/>
  <c r="N482" i="2"/>
  <c r="M482" i="2"/>
  <c r="O481" i="2"/>
  <c r="N481" i="2"/>
  <c r="M481" i="2"/>
  <c r="O480" i="2"/>
  <c r="N480" i="2"/>
  <c r="M480" i="2"/>
  <c r="O479" i="2"/>
  <c r="N479" i="2"/>
  <c r="M479" i="2"/>
  <c r="O478" i="2"/>
  <c r="N478" i="2"/>
  <c r="M478" i="2"/>
  <c r="O477" i="2"/>
  <c r="N477" i="2"/>
  <c r="M477" i="2"/>
  <c r="O476" i="2"/>
  <c r="N476" i="2"/>
  <c r="M476" i="2"/>
  <c r="O475" i="2"/>
  <c r="N475" i="2"/>
  <c r="M475" i="2"/>
  <c r="O474" i="2"/>
  <c r="N474" i="2"/>
  <c r="M474" i="2"/>
  <c r="O473" i="2"/>
  <c r="N473" i="2"/>
  <c r="M473" i="2"/>
  <c r="O472" i="2"/>
  <c r="N472" i="2"/>
  <c r="M472" i="2"/>
  <c r="O471" i="2"/>
  <c r="N471" i="2"/>
  <c r="M471" i="2"/>
  <c r="O470" i="2"/>
  <c r="N470" i="2"/>
  <c r="M470" i="2"/>
  <c r="O469" i="2"/>
  <c r="N469" i="2"/>
  <c r="M469" i="2"/>
  <c r="O468" i="2"/>
  <c r="N468" i="2"/>
  <c r="M468" i="2"/>
  <c r="O467" i="2"/>
  <c r="N467" i="2"/>
  <c r="M467" i="2"/>
  <c r="O466" i="2"/>
  <c r="N466" i="2"/>
  <c r="M466" i="2"/>
  <c r="O465" i="2"/>
  <c r="N465" i="2"/>
  <c r="M465" i="2"/>
  <c r="O464" i="2"/>
  <c r="N464" i="2"/>
  <c r="M464" i="2"/>
  <c r="O463" i="2"/>
  <c r="N463" i="2"/>
  <c r="M463" i="2"/>
  <c r="O462" i="2"/>
  <c r="N462" i="2"/>
  <c r="M462" i="2"/>
  <c r="O461" i="2"/>
  <c r="N461" i="2"/>
  <c r="M461" i="2"/>
  <c r="O460" i="2"/>
  <c r="N460" i="2"/>
  <c r="M460" i="2"/>
  <c r="O459" i="2"/>
  <c r="N459" i="2"/>
  <c r="M459" i="2"/>
  <c r="O458" i="2"/>
  <c r="N458" i="2"/>
  <c r="M458" i="2"/>
  <c r="O457" i="2"/>
  <c r="N457" i="2"/>
  <c r="M457" i="2"/>
  <c r="O456" i="2"/>
  <c r="N456" i="2"/>
  <c r="M456" i="2"/>
  <c r="O455" i="2"/>
  <c r="N455" i="2"/>
  <c r="M455" i="2"/>
  <c r="O454" i="2"/>
  <c r="N454" i="2"/>
  <c r="M454" i="2"/>
  <c r="O453" i="2"/>
  <c r="N453" i="2"/>
  <c r="M453" i="2"/>
  <c r="O452" i="2"/>
  <c r="N452" i="2"/>
  <c r="M452" i="2"/>
  <c r="O451" i="2"/>
  <c r="N451" i="2"/>
  <c r="M451" i="2"/>
  <c r="O450" i="2"/>
  <c r="N450" i="2"/>
  <c r="M450" i="2"/>
  <c r="O449" i="2"/>
  <c r="N449" i="2"/>
  <c r="M449" i="2"/>
  <c r="O448" i="2"/>
  <c r="N448" i="2"/>
  <c r="M448" i="2"/>
  <c r="O447" i="2"/>
  <c r="N447" i="2"/>
  <c r="M447" i="2"/>
  <c r="O446" i="2"/>
  <c r="N446" i="2"/>
  <c r="M446" i="2"/>
  <c r="O445" i="2"/>
  <c r="N445" i="2"/>
  <c r="M445" i="2"/>
  <c r="O444" i="2"/>
  <c r="N444" i="2"/>
  <c r="M444" i="2"/>
  <c r="O443" i="2"/>
  <c r="N443" i="2"/>
  <c r="M443" i="2"/>
  <c r="O442" i="2"/>
  <c r="N442" i="2"/>
  <c r="M442" i="2"/>
  <c r="O441" i="2"/>
  <c r="N441" i="2"/>
  <c r="M441" i="2"/>
  <c r="O440" i="2"/>
  <c r="N440" i="2"/>
  <c r="M440" i="2"/>
  <c r="O439" i="2"/>
  <c r="N439" i="2"/>
  <c r="M439" i="2"/>
  <c r="O438" i="2"/>
  <c r="N438" i="2"/>
  <c r="M438" i="2"/>
  <c r="O437" i="2"/>
  <c r="N437" i="2"/>
  <c r="M437" i="2"/>
  <c r="O436" i="2"/>
  <c r="N436" i="2"/>
  <c r="M436" i="2"/>
  <c r="O435" i="2"/>
  <c r="N435" i="2"/>
  <c r="M435" i="2"/>
  <c r="O434" i="2"/>
  <c r="N434" i="2"/>
  <c r="M434" i="2"/>
  <c r="O433" i="2"/>
  <c r="N433" i="2"/>
  <c r="M433" i="2"/>
  <c r="O432" i="2"/>
  <c r="N432" i="2"/>
  <c r="M432" i="2"/>
  <c r="O431" i="2"/>
  <c r="N431" i="2"/>
  <c r="M431" i="2"/>
  <c r="O430" i="2"/>
  <c r="N430" i="2"/>
  <c r="M430" i="2"/>
  <c r="O429" i="2"/>
  <c r="N429" i="2"/>
  <c r="M429" i="2"/>
  <c r="O428" i="2"/>
  <c r="N428" i="2"/>
  <c r="M428" i="2"/>
  <c r="O427" i="2"/>
  <c r="N427" i="2"/>
  <c r="M427" i="2"/>
  <c r="O426" i="2"/>
  <c r="N426" i="2"/>
  <c r="M426" i="2"/>
  <c r="O425" i="2"/>
  <c r="N425" i="2"/>
  <c r="M425" i="2"/>
  <c r="O424" i="2"/>
  <c r="N424" i="2"/>
  <c r="M424" i="2"/>
  <c r="O423" i="2"/>
  <c r="N423" i="2"/>
  <c r="M423" i="2"/>
  <c r="O422" i="2"/>
  <c r="N422" i="2"/>
  <c r="M422" i="2"/>
  <c r="O421" i="2"/>
  <c r="N421" i="2"/>
  <c r="M421" i="2"/>
  <c r="O420" i="2"/>
  <c r="N420" i="2"/>
  <c r="M420" i="2"/>
  <c r="O419" i="2"/>
  <c r="N419" i="2"/>
  <c r="M419" i="2"/>
  <c r="O418" i="2"/>
  <c r="N418" i="2"/>
  <c r="M418" i="2"/>
  <c r="O417" i="2"/>
  <c r="N417" i="2"/>
  <c r="M417" i="2"/>
  <c r="O416" i="2"/>
  <c r="N416" i="2"/>
  <c r="M416" i="2"/>
  <c r="O415" i="2"/>
  <c r="N415" i="2"/>
  <c r="M415" i="2"/>
  <c r="O414" i="2"/>
  <c r="N414" i="2"/>
  <c r="M414" i="2"/>
  <c r="O413" i="2"/>
  <c r="N413" i="2"/>
  <c r="M413" i="2"/>
  <c r="O412" i="2"/>
  <c r="N412" i="2"/>
  <c r="M412" i="2"/>
  <c r="O411" i="2"/>
  <c r="N411" i="2"/>
  <c r="M411" i="2"/>
  <c r="O410" i="2"/>
  <c r="N410" i="2"/>
  <c r="M410" i="2"/>
  <c r="O409" i="2"/>
  <c r="N409" i="2"/>
  <c r="M409" i="2"/>
  <c r="O408" i="2"/>
  <c r="N408" i="2"/>
  <c r="M408" i="2"/>
  <c r="O407" i="2"/>
  <c r="N407" i="2"/>
  <c r="M407" i="2"/>
  <c r="O406" i="2"/>
  <c r="N406" i="2"/>
  <c r="M406" i="2"/>
  <c r="O405" i="2"/>
  <c r="N405" i="2"/>
  <c r="M405" i="2"/>
  <c r="O404" i="2"/>
  <c r="N404" i="2"/>
  <c r="M404" i="2"/>
  <c r="O403" i="2"/>
  <c r="N403" i="2"/>
  <c r="M403" i="2"/>
  <c r="O402" i="2"/>
  <c r="N402" i="2"/>
  <c r="M402" i="2"/>
  <c r="O401" i="2"/>
  <c r="N401" i="2"/>
  <c r="M401" i="2"/>
  <c r="O400" i="2"/>
  <c r="N400" i="2"/>
  <c r="M400" i="2"/>
  <c r="O399" i="2"/>
  <c r="N399" i="2"/>
  <c r="M399" i="2"/>
  <c r="O398" i="2"/>
  <c r="N398" i="2"/>
  <c r="M398" i="2"/>
  <c r="O397" i="2"/>
  <c r="N397" i="2"/>
  <c r="M397" i="2"/>
  <c r="O396" i="2"/>
  <c r="N396" i="2"/>
  <c r="M396" i="2"/>
  <c r="O395" i="2"/>
  <c r="N395" i="2"/>
  <c r="M395" i="2"/>
  <c r="O394" i="2"/>
  <c r="N394" i="2"/>
  <c r="M394" i="2"/>
  <c r="O393" i="2"/>
  <c r="N393" i="2"/>
  <c r="M393" i="2"/>
  <c r="O392" i="2"/>
  <c r="N392" i="2"/>
  <c r="M392" i="2"/>
  <c r="O391" i="2"/>
  <c r="N391" i="2"/>
  <c r="M391" i="2"/>
  <c r="O390" i="2"/>
  <c r="N390" i="2"/>
  <c r="M390" i="2"/>
  <c r="O389" i="2"/>
  <c r="N389" i="2"/>
  <c r="M389" i="2"/>
  <c r="O388" i="2"/>
  <c r="N388" i="2"/>
  <c r="M388" i="2"/>
  <c r="O387" i="2"/>
  <c r="N387" i="2"/>
  <c r="M387" i="2"/>
  <c r="O386" i="2"/>
  <c r="N386" i="2"/>
  <c r="M386" i="2"/>
  <c r="O385" i="2"/>
  <c r="N385" i="2"/>
  <c r="M385" i="2"/>
  <c r="O384" i="2"/>
  <c r="N384" i="2"/>
  <c r="M384" i="2"/>
  <c r="O383" i="2"/>
  <c r="N383" i="2"/>
  <c r="M383" i="2"/>
  <c r="O382" i="2"/>
  <c r="N382" i="2"/>
  <c r="M382" i="2"/>
  <c r="O381" i="2"/>
  <c r="N381" i="2"/>
  <c r="M381" i="2"/>
  <c r="O380" i="2"/>
  <c r="N380" i="2"/>
  <c r="M380" i="2"/>
  <c r="O379" i="2"/>
  <c r="N379" i="2"/>
  <c r="M379" i="2"/>
  <c r="O378" i="2"/>
  <c r="N378" i="2"/>
  <c r="M378" i="2"/>
  <c r="O377" i="2"/>
  <c r="N377" i="2"/>
  <c r="M377" i="2"/>
  <c r="O376" i="2"/>
  <c r="N376" i="2"/>
  <c r="M376" i="2"/>
  <c r="O375" i="2"/>
  <c r="N375" i="2"/>
  <c r="M375" i="2"/>
  <c r="O374" i="2"/>
  <c r="N374" i="2"/>
  <c r="M374" i="2"/>
  <c r="O373" i="2"/>
  <c r="N373" i="2"/>
  <c r="M373" i="2"/>
  <c r="O372" i="2"/>
  <c r="N372" i="2"/>
  <c r="M372" i="2"/>
  <c r="O371" i="2"/>
  <c r="N371" i="2"/>
  <c r="M371" i="2"/>
  <c r="O370" i="2"/>
  <c r="N370" i="2"/>
  <c r="M370" i="2"/>
  <c r="O369" i="2"/>
  <c r="N369" i="2"/>
  <c r="M369" i="2"/>
  <c r="O368" i="2"/>
  <c r="N368" i="2"/>
  <c r="M368" i="2"/>
  <c r="O367" i="2"/>
  <c r="N367" i="2"/>
  <c r="M367" i="2"/>
  <c r="O366" i="2"/>
  <c r="N366" i="2"/>
  <c r="M366" i="2"/>
  <c r="O365" i="2"/>
  <c r="N365" i="2"/>
  <c r="M365" i="2"/>
  <c r="O364" i="2"/>
  <c r="N364" i="2"/>
  <c r="M364" i="2"/>
  <c r="O363" i="2"/>
  <c r="N363" i="2"/>
  <c r="M363" i="2"/>
  <c r="O362" i="2"/>
  <c r="N362" i="2"/>
  <c r="M362" i="2"/>
  <c r="O361" i="2"/>
  <c r="N361" i="2"/>
  <c r="M361" i="2"/>
  <c r="O360" i="2"/>
  <c r="N360" i="2"/>
  <c r="M360" i="2"/>
  <c r="O359" i="2"/>
  <c r="N359" i="2"/>
  <c r="M359" i="2"/>
  <c r="O358" i="2"/>
  <c r="N358" i="2"/>
  <c r="M358" i="2"/>
  <c r="O357" i="2"/>
  <c r="N357" i="2"/>
  <c r="M357" i="2"/>
  <c r="O356" i="2"/>
  <c r="N356" i="2"/>
  <c r="M356" i="2"/>
  <c r="O355" i="2"/>
  <c r="N355" i="2"/>
  <c r="M355" i="2"/>
  <c r="O354" i="2"/>
  <c r="N354" i="2"/>
  <c r="M354" i="2"/>
  <c r="O353" i="2"/>
  <c r="N353" i="2"/>
  <c r="M353" i="2"/>
  <c r="O352" i="2"/>
  <c r="N352" i="2"/>
  <c r="M352" i="2"/>
  <c r="O351" i="2"/>
  <c r="N351" i="2"/>
  <c r="M351" i="2"/>
  <c r="O350" i="2"/>
  <c r="N350" i="2"/>
  <c r="M350" i="2"/>
  <c r="O349" i="2"/>
  <c r="N349" i="2"/>
  <c r="M349" i="2"/>
  <c r="O348" i="2"/>
  <c r="N348" i="2"/>
  <c r="M348" i="2"/>
  <c r="O347" i="2"/>
  <c r="N347" i="2"/>
  <c r="M347" i="2"/>
  <c r="O346" i="2"/>
  <c r="N346" i="2"/>
  <c r="M346" i="2"/>
  <c r="O345" i="2"/>
  <c r="N345" i="2"/>
  <c r="M345" i="2"/>
  <c r="O344" i="2"/>
  <c r="N344" i="2"/>
  <c r="M344" i="2"/>
  <c r="O343" i="2"/>
  <c r="N343" i="2"/>
  <c r="M343" i="2"/>
  <c r="O342" i="2"/>
  <c r="N342" i="2"/>
  <c r="M342" i="2"/>
  <c r="O341" i="2"/>
  <c r="N341" i="2"/>
  <c r="M341" i="2"/>
  <c r="O340" i="2"/>
  <c r="N340" i="2"/>
  <c r="M340" i="2"/>
  <c r="O339" i="2"/>
  <c r="N339" i="2"/>
  <c r="M339" i="2"/>
  <c r="O338" i="2"/>
  <c r="N338" i="2"/>
  <c r="M338" i="2"/>
  <c r="O337" i="2"/>
  <c r="N337" i="2"/>
  <c r="M337" i="2"/>
  <c r="O336" i="2"/>
  <c r="N336" i="2"/>
  <c r="M336" i="2"/>
  <c r="O335" i="2"/>
  <c r="N335" i="2"/>
  <c r="M335" i="2"/>
  <c r="O334" i="2"/>
  <c r="N334" i="2"/>
  <c r="M334" i="2"/>
  <c r="O333" i="2"/>
  <c r="N333" i="2"/>
  <c r="M333" i="2"/>
  <c r="O332" i="2"/>
  <c r="N332" i="2"/>
  <c r="M332" i="2"/>
  <c r="O331" i="2"/>
  <c r="N331" i="2"/>
  <c r="M331" i="2"/>
  <c r="O330" i="2"/>
  <c r="N330" i="2"/>
  <c r="M330" i="2"/>
  <c r="O329" i="2"/>
  <c r="N329" i="2"/>
  <c r="M329" i="2"/>
  <c r="O328" i="2"/>
  <c r="N328" i="2"/>
  <c r="M328" i="2"/>
  <c r="O327" i="2"/>
  <c r="N327" i="2"/>
  <c r="M327" i="2"/>
  <c r="O326" i="2"/>
  <c r="N326" i="2"/>
  <c r="M326" i="2"/>
  <c r="O325" i="2"/>
  <c r="N325" i="2"/>
  <c r="M325" i="2"/>
  <c r="O324" i="2"/>
  <c r="N324" i="2"/>
  <c r="M324" i="2"/>
  <c r="O323" i="2"/>
  <c r="N323" i="2"/>
  <c r="M323" i="2"/>
  <c r="O322" i="2"/>
  <c r="N322" i="2"/>
  <c r="M322" i="2"/>
  <c r="O321" i="2"/>
  <c r="N321" i="2"/>
  <c r="M321" i="2"/>
  <c r="O320" i="2"/>
  <c r="N320" i="2"/>
  <c r="M320" i="2"/>
  <c r="O319" i="2"/>
  <c r="N319" i="2"/>
  <c r="M319" i="2"/>
  <c r="O318" i="2"/>
  <c r="N318" i="2"/>
  <c r="M318" i="2"/>
  <c r="O317" i="2"/>
  <c r="N317" i="2"/>
  <c r="M317" i="2"/>
  <c r="O316" i="2"/>
  <c r="N316" i="2"/>
  <c r="M316" i="2"/>
  <c r="O315" i="2"/>
  <c r="N315" i="2"/>
  <c r="M315" i="2"/>
  <c r="O314" i="2"/>
  <c r="N314" i="2"/>
  <c r="M314" i="2"/>
  <c r="O313" i="2"/>
  <c r="N313" i="2"/>
  <c r="M313" i="2"/>
  <c r="O312" i="2"/>
  <c r="N312" i="2"/>
  <c r="M312" i="2"/>
  <c r="O311" i="2"/>
  <c r="N311" i="2"/>
  <c r="M311" i="2"/>
  <c r="O310" i="2"/>
  <c r="N310" i="2"/>
  <c r="M310" i="2"/>
  <c r="O309" i="2"/>
  <c r="N309" i="2"/>
  <c r="M309" i="2"/>
  <c r="O308" i="2"/>
  <c r="N308" i="2"/>
  <c r="M308" i="2"/>
  <c r="O307" i="2"/>
  <c r="N307" i="2"/>
  <c r="M307" i="2"/>
  <c r="O306" i="2"/>
  <c r="N306" i="2"/>
  <c r="M306" i="2"/>
  <c r="O305" i="2"/>
  <c r="N305" i="2"/>
  <c r="M305" i="2"/>
  <c r="O304" i="2"/>
  <c r="N304" i="2"/>
  <c r="M304" i="2"/>
  <c r="O303" i="2"/>
  <c r="N303" i="2"/>
  <c r="M303" i="2"/>
  <c r="O302" i="2"/>
  <c r="N302" i="2"/>
  <c r="M302" i="2"/>
  <c r="O301" i="2"/>
  <c r="N301" i="2"/>
  <c r="M301" i="2"/>
  <c r="O300" i="2"/>
  <c r="N300" i="2"/>
  <c r="M300" i="2"/>
  <c r="O299" i="2"/>
  <c r="N299" i="2"/>
  <c r="M299" i="2"/>
  <c r="O298" i="2"/>
  <c r="N298" i="2"/>
  <c r="M298" i="2"/>
  <c r="O297" i="2"/>
  <c r="N297" i="2"/>
  <c r="M297" i="2"/>
  <c r="O296" i="2"/>
  <c r="N296" i="2"/>
  <c r="M296" i="2"/>
  <c r="O295" i="2"/>
  <c r="N295" i="2"/>
  <c r="M295" i="2"/>
  <c r="O294" i="2"/>
  <c r="N294" i="2"/>
  <c r="M294" i="2"/>
  <c r="O293" i="2"/>
  <c r="N293" i="2"/>
  <c r="M293" i="2"/>
  <c r="O292" i="2"/>
  <c r="N292" i="2"/>
  <c r="M292" i="2"/>
  <c r="O291" i="2"/>
  <c r="N291" i="2"/>
  <c r="M291" i="2"/>
  <c r="O290" i="2"/>
  <c r="N290" i="2"/>
  <c r="M290" i="2"/>
  <c r="O289" i="2"/>
  <c r="N289" i="2"/>
  <c r="M289" i="2"/>
  <c r="O288" i="2"/>
  <c r="N288" i="2"/>
  <c r="M288" i="2"/>
  <c r="O287" i="2"/>
  <c r="N287" i="2"/>
  <c r="M287" i="2"/>
  <c r="O286" i="2"/>
  <c r="N286" i="2"/>
  <c r="M286" i="2"/>
  <c r="O285" i="2"/>
  <c r="N285" i="2"/>
  <c r="M285" i="2"/>
  <c r="O284" i="2"/>
  <c r="N284" i="2"/>
  <c r="M284" i="2"/>
  <c r="O283" i="2"/>
  <c r="N283" i="2"/>
  <c r="M283" i="2"/>
  <c r="O282" i="2"/>
  <c r="N282" i="2"/>
  <c r="M282" i="2"/>
  <c r="O281" i="2"/>
  <c r="N281" i="2"/>
  <c r="M281" i="2"/>
  <c r="O280" i="2"/>
  <c r="N280" i="2"/>
  <c r="M280" i="2"/>
  <c r="O279" i="2"/>
  <c r="N279" i="2"/>
  <c r="M279" i="2"/>
  <c r="O278" i="2"/>
  <c r="N278" i="2"/>
  <c r="M278" i="2"/>
  <c r="O277" i="2"/>
  <c r="N277" i="2"/>
  <c r="M277" i="2"/>
  <c r="O276" i="2"/>
  <c r="N276" i="2"/>
  <c r="M276" i="2"/>
  <c r="O275" i="2"/>
  <c r="N275" i="2"/>
  <c r="M275" i="2"/>
  <c r="O274" i="2"/>
  <c r="N274" i="2"/>
  <c r="M274" i="2"/>
  <c r="O273" i="2"/>
  <c r="N273" i="2"/>
  <c r="M273" i="2"/>
  <c r="O272" i="2"/>
  <c r="N272" i="2"/>
  <c r="M272" i="2"/>
  <c r="O271" i="2"/>
  <c r="N271" i="2"/>
  <c r="M271" i="2"/>
  <c r="O270" i="2"/>
  <c r="N270" i="2"/>
  <c r="M270" i="2"/>
  <c r="O269" i="2"/>
  <c r="N269" i="2"/>
  <c r="M269" i="2"/>
  <c r="O268" i="2"/>
  <c r="N268" i="2"/>
  <c r="M268" i="2"/>
  <c r="O267" i="2"/>
  <c r="N267" i="2"/>
  <c r="M267" i="2"/>
  <c r="O266" i="2"/>
  <c r="N266" i="2"/>
  <c r="M266" i="2"/>
  <c r="O265" i="2"/>
  <c r="N265" i="2"/>
  <c r="M265" i="2"/>
  <c r="O264" i="2"/>
  <c r="N264" i="2"/>
  <c r="M264" i="2"/>
  <c r="O263" i="2"/>
  <c r="N263" i="2"/>
  <c r="M263" i="2"/>
  <c r="O262" i="2"/>
  <c r="N262" i="2"/>
  <c r="M262" i="2"/>
  <c r="O261" i="2"/>
  <c r="N261" i="2"/>
  <c r="M261" i="2"/>
  <c r="O260" i="2"/>
  <c r="N260" i="2"/>
  <c r="M260" i="2"/>
  <c r="O259" i="2"/>
  <c r="N259" i="2"/>
  <c r="M259" i="2"/>
  <c r="O258" i="2"/>
  <c r="N258" i="2"/>
  <c r="M258" i="2"/>
  <c r="O257" i="2"/>
  <c r="N257" i="2"/>
  <c r="M257" i="2"/>
  <c r="O256" i="2"/>
  <c r="N256" i="2"/>
  <c r="M256" i="2"/>
  <c r="O255" i="2"/>
  <c r="N255" i="2"/>
  <c r="M255" i="2"/>
  <c r="O254" i="2"/>
  <c r="N254" i="2"/>
  <c r="M254" i="2"/>
  <c r="O253" i="2"/>
  <c r="N253" i="2"/>
  <c r="M253" i="2"/>
  <c r="O252" i="2"/>
  <c r="N252" i="2"/>
  <c r="M252" i="2"/>
  <c r="O251" i="2"/>
  <c r="N251" i="2"/>
  <c r="M251" i="2"/>
  <c r="O250" i="2"/>
  <c r="N250" i="2"/>
  <c r="M250" i="2"/>
  <c r="O249" i="2"/>
  <c r="N249" i="2"/>
  <c r="M249" i="2"/>
  <c r="O248" i="2"/>
  <c r="N248" i="2"/>
  <c r="M248" i="2"/>
  <c r="O247" i="2"/>
  <c r="N247" i="2"/>
  <c r="M247" i="2"/>
  <c r="O246" i="2"/>
  <c r="N246" i="2"/>
  <c r="M246" i="2"/>
  <c r="O245" i="2"/>
  <c r="N245" i="2"/>
  <c r="M245" i="2"/>
  <c r="O244" i="2"/>
  <c r="N244" i="2"/>
  <c r="M244" i="2"/>
  <c r="O243" i="2"/>
  <c r="N243" i="2"/>
  <c r="M243" i="2"/>
  <c r="O242" i="2"/>
  <c r="N242" i="2"/>
  <c r="M242" i="2"/>
  <c r="O241" i="2"/>
  <c r="N241" i="2"/>
  <c r="M241" i="2"/>
  <c r="O240" i="2"/>
  <c r="N240" i="2"/>
  <c r="M240" i="2"/>
  <c r="O239" i="2"/>
  <c r="N239" i="2"/>
  <c r="M239" i="2"/>
  <c r="O238" i="2"/>
  <c r="N238" i="2"/>
  <c r="M238" i="2"/>
  <c r="O237" i="2"/>
  <c r="N237" i="2"/>
  <c r="M237" i="2"/>
  <c r="O236" i="2"/>
  <c r="N236" i="2"/>
  <c r="M236" i="2"/>
  <c r="O235" i="2"/>
  <c r="N235" i="2"/>
  <c r="M235" i="2"/>
  <c r="O234" i="2"/>
  <c r="N234" i="2"/>
  <c r="M234" i="2"/>
  <c r="O233" i="2"/>
  <c r="N233" i="2"/>
  <c r="M233" i="2"/>
  <c r="O232" i="2"/>
  <c r="N232" i="2"/>
  <c r="M232" i="2"/>
  <c r="O231" i="2"/>
  <c r="N231" i="2"/>
  <c r="M231" i="2"/>
  <c r="O230" i="2"/>
  <c r="N230" i="2"/>
  <c r="M230" i="2"/>
  <c r="O229" i="2"/>
  <c r="N229" i="2"/>
  <c r="M229" i="2"/>
  <c r="O228" i="2"/>
  <c r="N228" i="2"/>
  <c r="M228" i="2"/>
  <c r="O227" i="2"/>
  <c r="N227" i="2"/>
  <c r="M227" i="2"/>
  <c r="O226" i="2"/>
  <c r="N226" i="2"/>
  <c r="M226" i="2"/>
  <c r="O225" i="2"/>
  <c r="N225" i="2"/>
  <c r="M225" i="2"/>
  <c r="O224" i="2"/>
  <c r="N224" i="2"/>
  <c r="M224" i="2"/>
  <c r="O223" i="2"/>
  <c r="N223" i="2"/>
  <c r="M223" i="2"/>
  <c r="O222" i="2"/>
  <c r="N222" i="2"/>
  <c r="M222" i="2"/>
  <c r="O221" i="2"/>
  <c r="N221" i="2"/>
  <c r="M221" i="2"/>
  <c r="O220" i="2"/>
  <c r="N220" i="2"/>
  <c r="M220" i="2"/>
  <c r="O219" i="2"/>
  <c r="N219" i="2"/>
  <c r="M219" i="2"/>
  <c r="O218" i="2"/>
  <c r="N218" i="2"/>
  <c r="M218" i="2"/>
  <c r="O217" i="2"/>
  <c r="N217" i="2"/>
  <c r="M217" i="2"/>
  <c r="O216" i="2"/>
  <c r="N216" i="2"/>
  <c r="M216" i="2"/>
  <c r="O215" i="2"/>
  <c r="N215" i="2"/>
  <c r="M215" i="2"/>
  <c r="O214" i="2"/>
  <c r="N214" i="2"/>
  <c r="M214" i="2"/>
  <c r="O213" i="2"/>
  <c r="N213" i="2"/>
  <c r="M213" i="2"/>
  <c r="O212" i="2"/>
  <c r="N212" i="2"/>
  <c r="M212" i="2"/>
  <c r="O211" i="2"/>
  <c r="N211" i="2"/>
  <c r="M211" i="2"/>
  <c r="O210" i="2"/>
  <c r="N210" i="2"/>
  <c r="M210" i="2"/>
  <c r="O209" i="2"/>
  <c r="N209" i="2"/>
  <c r="M209" i="2"/>
  <c r="O208" i="2"/>
  <c r="N208" i="2"/>
  <c r="M208" i="2"/>
  <c r="O207" i="2"/>
  <c r="N207" i="2"/>
  <c r="M207" i="2"/>
  <c r="O206" i="2"/>
  <c r="N206" i="2"/>
  <c r="M206" i="2"/>
  <c r="O205" i="2"/>
  <c r="N205" i="2"/>
  <c r="M205" i="2"/>
  <c r="O204" i="2"/>
  <c r="N204" i="2"/>
  <c r="M204" i="2"/>
  <c r="O203" i="2"/>
  <c r="N203" i="2"/>
  <c r="M203" i="2"/>
  <c r="O202" i="2"/>
  <c r="N202" i="2"/>
  <c r="M202" i="2"/>
  <c r="O201" i="2"/>
  <c r="N201" i="2"/>
  <c r="M201" i="2"/>
  <c r="O200" i="2"/>
  <c r="N200" i="2"/>
  <c r="M200" i="2"/>
  <c r="O199" i="2"/>
  <c r="N199" i="2"/>
  <c r="M199" i="2"/>
  <c r="O198" i="2"/>
  <c r="N198" i="2"/>
  <c r="M198" i="2"/>
  <c r="O197" i="2"/>
  <c r="N197" i="2"/>
  <c r="M197" i="2"/>
  <c r="O196" i="2"/>
  <c r="N196" i="2"/>
  <c r="M196" i="2"/>
  <c r="O195" i="2"/>
  <c r="N195" i="2"/>
  <c r="M195" i="2"/>
  <c r="O194" i="2"/>
  <c r="N194" i="2"/>
  <c r="M194" i="2"/>
  <c r="O193" i="2"/>
  <c r="N193" i="2"/>
  <c r="M193" i="2"/>
  <c r="O192" i="2"/>
  <c r="N192" i="2"/>
  <c r="M192" i="2"/>
  <c r="O191" i="2"/>
  <c r="N191" i="2"/>
  <c r="M191" i="2"/>
  <c r="O190" i="2"/>
  <c r="N190" i="2"/>
  <c r="M190" i="2"/>
  <c r="O189" i="2"/>
  <c r="N189" i="2"/>
  <c r="M189" i="2"/>
  <c r="O188" i="2"/>
  <c r="N188" i="2"/>
  <c r="M188" i="2"/>
  <c r="O187" i="2"/>
  <c r="N187" i="2"/>
  <c r="M187" i="2"/>
  <c r="O186" i="2"/>
  <c r="N186" i="2"/>
  <c r="M186" i="2"/>
  <c r="O185" i="2"/>
  <c r="N185" i="2"/>
  <c r="M185" i="2"/>
  <c r="O184" i="2"/>
  <c r="N184" i="2"/>
  <c r="M184" i="2"/>
  <c r="O183" i="2"/>
  <c r="N183" i="2"/>
  <c r="M183" i="2"/>
  <c r="O182" i="2"/>
  <c r="N182" i="2"/>
  <c r="M182" i="2"/>
  <c r="O181" i="2"/>
  <c r="N181" i="2"/>
  <c r="M181" i="2"/>
  <c r="O180" i="2"/>
  <c r="N180" i="2"/>
  <c r="M180" i="2"/>
  <c r="O179" i="2"/>
  <c r="N179" i="2"/>
  <c r="M179" i="2"/>
  <c r="O178" i="2"/>
  <c r="N178" i="2"/>
  <c r="M178" i="2"/>
  <c r="O177" i="2"/>
  <c r="N177" i="2"/>
  <c r="M177" i="2"/>
  <c r="O176" i="2"/>
  <c r="N176" i="2"/>
  <c r="M176" i="2"/>
  <c r="O175" i="2"/>
  <c r="N175" i="2"/>
  <c r="M175" i="2"/>
  <c r="O174" i="2"/>
  <c r="N174" i="2"/>
  <c r="M174" i="2"/>
  <c r="O173" i="2"/>
  <c r="N173" i="2"/>
  <c r="M173" i="2"/>
  <c r="O172" i="2"/>
  <c r="N172" i="2"/>
  <c r="M172" i="2"/>
  <c r="O171" i="2"/>
  <c r="N171" i="2"/>
  <c r="M171" i="2"/>
  <c r="O170" i="2"/>
  <c r="N170" i="2"/>
  <c r="M170" i="2"/>
  <c r="O169" i="2"/>
  <c r="N169" i="2"/>
  <c r="M169" i="2"/>
  <c r="O168" i="2"/>
  <c r="N168" i="2"/>
  <c r="M168" i="2"/>
  <c r="O167" i="2"/>
  <c r="N167" i="2"/>
  <c r="M167" i="2"/>
  <c r="O166" i="2"/>
  <c r="N166" i="2"/>
  <c r="M166" i="2"/>
  <c r="O165" i="2"/>
  <c r="N165" i="2"/>
  <c r="M165" i="2"/>
  <c r="O164" i="2"/>
  <c r="N164" i="2"/>
  <c r="M164" i="2"/>
  <c r="O163" i="2"/>
  <c r="N163" i="2"/>
  <c r="M163" i="2"/>
  <c r="O162" i="2"/>
  <c r="N162" i="2"/>
  <c r="M162" i="2"/>
  <c r="O161" i="2"/>
  <c r="N161" i="2"/>
  <c r="M161" i="2"/>
  <c r="O160" i="2"/>
  <c r="N160" i="2"/>
  <c r="M160" i="2"/>
  <c r="O159" i="2"/>
  <c r="N159" i="2"/>
  <c r="M159" i="2"/>
  <c r="O158" i="2"/>
  <c r="N158" i="2"/>
  <c r="M158" i="2"/>
  <c r="O157" i="2"/>
  <c r="N157" i="2"/>
  <c r="M157" i="2"/>
  <c r="O156" i="2"/>
  <c r="N156" i="2"/>
  <c r="M156" i="2"/>
  <c r="O155" i="2"/>
  <c r="N155" i="2"/>
  <c r="M155" i="2"/>
  <c r="O154" i="2"/>
  <c r="N154" i="2"/>
  <c r="M154" i="2"/>
  <c r="O153" i="2"/>
  <c r="N153" i="2"/>
  <c r="M153" i="2"/>
  <c r="O152" i="2"/>
  <c r="N152" i="2"/>
  <c r="M152" i="2"/>
  <c r="O151" i="2"/>
  <c r="N151" i="2"/>
  <c r="M151" i="2"/>
  <c r="O150" i="2"/>
  <c r="N150" i="2"/>
  <c r="M150" i="2"/>
  <c r="O149" i="2"/>
  <c r="N149" i="2"/>
  <c r="M149" i="2"/>
  <c r="O148" i="2"/>
  <c r="N148" i="2"/>
  <c r="M148" i="2"/>
  <c r="O147" i="2"/>
  <c r="N147" i="2"/>
  <c r="M147" i="2"/>
  <c r="O146" i="2"/>
  <c r="N146" i="2"/>
  <c r="M146" i="2"/>
  <c r="O145" i="2"/>
  <c r="N145" i="2"/>
  <c r="M145" i="2"/>
  <c r="O144" i="2"/>
  <c r="N144" i="2"/>
  <c r="M144" i="2"/>
  <c r="O143" i="2"/>
  <c r="N143" i="2"/>
  <c r="M143" i="2"/>
  <c r="O142" i="2"/>
  <c r="N142" i="2"/>
  <c r="M142" i="2"/>
  <c r="O141" i="2"/>
  <c r="N141" i="2"/>
  <c r="M141" i="2"/>
  <c r="O140" i="2"/>
  <c r="N140" i="2"/>
  <c r="M140" i="2"/>
  <c r="O139" i="2"/>
  <c r="N139" i="2"/>
  <c r="M139" i="2"/>
  <c r="O138" i="2"/>
  <c r="N138" i="2"/>
  <c r="M138" i="2"/>
  <c r="O137" i="2"/>
  <c r="N137" i="2"/>
  <c r="M137" i="2"/>
  <c r="O136" i="2"/>
  <c r="N136" i="2"/>
  <c r="M136" i="2"/>
  <c r="O135" i="2"/>
  <c r="N135" i="2"/>
  <c r="M135" i="2"/>
  <c r="O134" i="2"/>
  <c r="N134" i="2"/>
  <c r="M134" i="2"/>
  <c r="O133" i="2"/>
  <c r="N133" i="2"/>
  <c r="M133" i="2"/>
  <c r="O132" i="2"/>
  <c r="N132" i="2"/>
  <c r="M132" i="2"/>
  <c r="O131" i="2"/>
  <c r="N131" i="2"/>
  <c r="M131" i="2"/>
  <c r="O130" i="2"/>
  <c r="N130" i="2"/>
  <c r="M130" i="2"/>
  <c r="O129" i="2"/>
  <c r="N129" i="2"/>
  <c r="M129" i="2"/>
  <c r="O128" i="2"/>
  <c r="N128" i="2"/>
  <c r="M128" i="2"/>
  <c r="O127" i="2"/>
  <c r="N127" i="2"/>
  <c r="M127" i="2"/>
  <c r="O126" i="2"/>
  <c r="N126" i="2"/>
  <c r="M126" i="2"/>
  <c r="O125" i="2"/>
  <c r="N125" i="2"/>
  <c r="M125" i="2"/>
  <c r="O124" i="2"/>
  <c r="N124" i="2"/>
  <c r="M124" i="2"/>
  <c r="O123" i="2"/>
  <c r="N123" i="2"/>
  <c r="M123" i="2"/>
  <c r="O122" i="2"/>
  <c r="N122" i="2"/>
  <c r="M122" i="2"/>
  <c r="O121" i="2"/>
  <c r="N121" i="2"/>
  <c r="M121" i="2"/>
  <c r="O120" i="2"/>
  <c r="N120" i="2"/>
  <c r="M120" i="2"/>
  <c r="O119" i="2"/>
  <c r="N119" i="2"/>
  <c r="M119" i="2"/>
  <c r="O118" i="2"/>
  <c r="N118" i="2"/>
  <c r="M118" i="2"/>
  <c r="O117" i="2"/>
  <c r="N117" i="2"/>
  <c r="M117" i="2"/>
  <c r="O116" i="2"/>
  <c r="N116" i="2"/>
  <c r="M116" i="2"/>
  <c r="O115" i="2"/>
  <c r="N115" i="2"/>
  <c r="M115" i="2"/>
  <c r="O114" i="2"/>
  <c r="N114" i="2"/>
  <c r="M114" i="2"/>
  <c r="O113" i="2"/>
  <c r="N113" i="2"/>
  <c r="M113" i="2"/>
  <c r="O112" i="2"/>
  <c r="N112" i="2"/>
  <c r="M112" i="2"/>
  <c r="O111" i="2"/>
  <c r="N111" i="2"/>
  <c r="M111" i="2"/>
  <c r="O110" i="2"/>
  <c r="N110" i="2"/>
  <c r="M110" i="2"/>
  <c r="O109" i="2"/>
  <c r="N109" i="2"/>
  <c r="M109" i="2"/>
  <c r="O108" i="2"/>
  <c r="N108" i="2"/>
  <c r="M108" i="2"/>
  <c r="O107" i="2"/>
  <c r="N107" i="2"/>
  <c r="M107" i="2"/>
  <c r="O106" i="2"/>
  <c r="N106" i="2"/>
  <c r="M106" i="2"/>
  <c r="O105" i="2"/>
  <c r="N105" i="2"/>
  <c r="M105" i="2"/>
  <c r="O104" i="2"/>
  <c r="N104" i="2"/>
  <c r="M104" i="2"/>
  <c r="O103" i="2"/>
  <c r="N103" i="2"/>
  <c r="M103" i="2"/>
  <c r="O102" i="2"/>
  <c r="N102" i="2"/>
  <c r="M102" i="2"/>
  <c r="O101" i="2"/>
  <c r="N101" i="2"/>
  <c r="M101" i="2"/>
  <c r="O100" i="2"/>
  <c r="N100" i="2"/>
  <c r="M100" i="2"/>
  <c r="O99" i="2"/>
  <c r="N99" i="2"/>
  <c r="M99" i="2"/>
  <c r="O98" i="2"/>
  <c r="N98" i="2"/>
  <c r="M98" i="2"/>
  <c r="O97" i="2"/>
  <c r="N97" i="2"/>
  <c r="M97" i="2"/>
  <c r="O96" i="2"/>
  <c r="N96" i="2"/>
  <c r="M96" i="2"/>
  <c r="O95" i="2"/>
  <c r="N95" i="2"/>
  <c r="M95" i="2"/>
  <c r="O94" i="2"/>
  <c r="N94" i="2"/>
  <c r="M94" i="2"/>
  <c r="O93" i="2"/>
  <c r="N93" i="2"/>
  <c r="M93" i="2"/>
  <c r="O92" i="2"/>
  <c r="N92" i="2"/>
  <c r="M92" i="2"/>
  <c r="O91" i="2"/>
  <c r="N91" i="2"/>
  <c r="M91" i="2"/>
  <c r="O90" i="2"/>
  <c r="N90" i="2"/>
  <c r="M90" i="2"/>
  <c r="O89" i="2"/>
  <c r="N89" i="2"/>
  <c r="M89" i="2"/>
  <c r="O88" i="2"/>
  <c r="N88" i="2"/>
  <c r="M88" i="2"/>
  <c r="O87" i="2"/>
  <c r="N87" i="2"/>
  <c r="M87" i="2"/>
  <c r="O86" i="2"/>
  <c r="N86" i="2"/>
  <c r="M86" i="2"/>
  <c r="O85" i="2"/>
  <c r="N85" i="2"/>
  <c r="M85" i="2"/>
  <c r="O84" i="2"/>
  <c r="N84" i="2"/>
  <c r="M84" i="2"/>
  <c r="O83" i="2"/>
  <c r="N83" i="2"/>
  <c r="M83" i="2"/>
  <c r="O82" i="2"/>
  <c r="N82" i="2"/>
  <c r="M82" i="2"/>
  <c r="O81" i="2"/>
  <c r="N81" i="2"/>
  <c r="M81" i="2"/>
  <c r="O80" i="2"/>
  <c r="N80" i="2"/>
  <c r="M80" i="2"/>
  <c r="O79" i="2"/>
  <c r="N79" i="2"/>
  <c r="M79" i="2"/>
  <c r="O78" i="2"/>
  <c r="N78" i="2"/>
  <c r="M78" i="2"/>
  <c r="O77" i="2"/>
  <c r="N77" i="2"/>
  <c r="M77" i="2"/>
  <c r="O76" i="2"/>
  <c r="N76" i="2"/>
  <c r="M76" i="2"/>
  <c r="O75" i="2"/>
  <c r="N75" i="2"/>
  <c r="M75" i="2"/>
  <c r="O74" i="2"/>
  <c r="N74" i="2"/>
  <c r="M74" i="2"/>
  <c r="O73" i="2"/>
  <c r="N73" i="2"/>
  <c r="M73" i="2"/>
  <c r="O72" i="2"/>
  <c r="N72" i="2"/>
  <c r="M72" i="2"/>
  <c r="O71" i="2"/>
  <c r="N71" i="2"/>
  <c r="M71" i="2"/>
  <c r="O70" i="2"/>
  <c r="N70" i="2"/>
  <c r="M70" i="2"/>
  <c r="O69" i="2"/>
  <c r="N69" i="2"/>
  <c r="M69" i="2"/>
  <c r="O68" i="2"/>
  <c r="N68" i="2"/>
  <c r="M68" i="2"/>
  <c r="O67" i="2"/>
  <c r="N67" i="2"/>
  <c r="M67" i="2"/>
  <c r="O66" i="2"/>
  <c r="N66" i="2"/>
  <c r="M66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  <c r="O4" i="2"/>
  <c r="N4" i="2"/>
  <c r="M4" i="2"/>
  <c r="O3" i="2"/>
  <c r="N3" i="2"/>
  <c r="M3" i="2"/>
  <c r="O2" i="2"/>
  <c r="N2" i="2"/>
  <c r="M2" i="2"/>
</calcChain>
</file>

<file path=xl/sharedStrings.xml><?xml version="1.0" encoding="utf-8"?>
<sst xmlns="http://schemas.openxmlformats.org/spreadsheetml/2006/main" count="75186" uniqueCount="9206">
  <si>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</si>
  <si>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</si>
  <si>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</si>
  <si>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</si>
  <si>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</si>
  <si>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</si>
  <si>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</si>
  <si>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</si>
  <si>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</si>
  <si>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</si>
  <si>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</si>
  <si>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</si>
  <si>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</si>
  <si>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</si>
  <si>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</si>
  <si>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</si>
  <si>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</si>
  <si>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</si>
  <si>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</si>
  <si>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</si>
  <si>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</si>
  <si>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</si>
  <si>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</si>
  <si>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</si>
  <si>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</si>
  <si>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</si>
  <si>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</si>
  <si>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</si>
  <si>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</si>
  <si>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</si>
  <si>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</si>
  <si>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</si>
  <si>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</si>
  <si>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</si>
  <si>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</si>
  <si>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</si>
  <si>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</si>
  <si>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</si>
  <si>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</si>
  <si>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</si>
  <si>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</si>
  <si>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</si>
  <si>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</si>
  <si>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</si>
  <si>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</si>
  <si>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</si>
  <si>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</si>
  <si>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</si>
  <si>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</si>
  <si>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</si>
  <si>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</si>
  <si>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</si>
  <si>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</si>
  <si>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</si>
  <si>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</si>
  <si>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</si>
  <si>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</si>
  <si>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</si>
  <si>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</si>
  <si>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</si>
  <si>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</si>
  <si>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</si>
  <si>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</si>
  <si>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</si>
  <si>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</si>
  <si>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</si>
  <si>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</si>
  <si>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</si>
  <si>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</si>
  <si>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</si>
  <si>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</si>
  <si>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</si>
  <si>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</si>
  <si>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</si>
  <si>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</si>
  <si>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</si>
  <si>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</si>
  <si>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</si>
  <si>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</si>
  <si>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</si>
  <si>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</si>
  <si>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</si>
  <si>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</si>
  <si>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</si>
  <si>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</si>
  <si>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</si>
  <si>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</si>
  <si>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</si>
  <si>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</si>
  <si>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</si>
  <si>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</si>
  <si>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</si>
  <si>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</si>
  <si>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</si>
  <si>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</si>
  <si>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</si>
  <si>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</si>
  <si>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</si>
  <si>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</si>
  <si>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</si>
  <si>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</si>
  <si>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</si>
  <si>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</si>
  <si>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</si>
  <si>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</si>
  <si>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</si>
  <si>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</si>
  <si>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</si>
  <si>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</si>
  <si>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</si>
  <si>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</si>
  <si>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</si>
  <si>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</si>
  <si>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</si>
  <si>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</si>
  <si>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</si>
  <si>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</si>
  <si>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</si>
  <si>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</si>
  <si>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</si>
  <si>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</si>
  <si>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</si>
  <si>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</si>
  <si>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</si>
  <si>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</si>
  <si>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</si>
  <si>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</si>
  <si>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</si>
  <si>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</si>
  <si>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</si>
  <si>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</si>
  <si>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</si>
  <si>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</si>
  <si>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</si>
  <si>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</si>
  <si>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</si>
  <si>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</si>
  <si>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</si>
  <si>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</si>
  <si>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</si>
  <si>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</si>
  <si>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</si>
  <si>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</si>
  <si>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</si>
  <si>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</si>
  <si>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</si>
  <si>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</si>
  <si>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</si>
  <si>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</si>
  <si>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</si>
  <si>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</si>
  <si>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</si>
  <si>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</si>
  <si>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</si>
  <si>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</si>
  <si>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</si>
  <si>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</si>
  <si>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</si>
  <si>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</si>
  <si>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</si>
  <si>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</si>
  <si>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</si>
  <si>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</si>
  <si>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</si>
  <si>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</si>
  <si>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</si>
  <si>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</si>
  <si>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</si>
  <si>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</si>
  <si>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</si>
  <si>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</si>
  <si>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</si>
  <si>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</si>
  <si>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</si>
  <si>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</si>
  <si>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</si>
  <si>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</si>
  <si>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</si>
  <si>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</si>
  <si>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</si>
  <si>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</si>
  <si>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</si>
  <si>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</si>
  <si>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</si>
  <si>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</si>
  <si>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</si>
  <si>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</si>
  <si>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</si>
  <si>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</si>
  <si>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</si>
  <si>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</si>
  <si>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</si>
  <si>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</si>
  <si>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</si>
  <si>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</si>
  <si>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</si>
  <si>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</si>
  <si>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</si>
  <si>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</si>
  <si>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</si>
  <si>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</si>
  <si>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</si>
  <si>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</si>
  <si>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</si>
  <si>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</si>
  <si>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</si>
  <si>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</si>
  <si>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</si>
  <si>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</si>
  <si>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</si>
  <si>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</si>
  <si>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</si>
  <si>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</si>
  <si>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</si>
  <si>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</si>
  <si>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</si>
  <si>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</si>
  <si>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</si>
  <si>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</si>
  <si>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</si>
  <si>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</si>
  <si>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</si>
  <si>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</si>
  <si>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</si>
  <si>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</si>
  <si>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</si>
  <si>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</si>
  <si>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</si>
  <si>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</si>
  <si>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</si>
  <si>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</si>
  <si>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</si>
  <si>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</si>
  <si>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</si>
  <si>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</si>
  <si>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</si>
  <si>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</si>
  <si>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</si>
  <si>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</si>
  <si>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</si>
  <si>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</si>
  <si>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</si>
  <si>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</si>
  <si>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</si>
  <si>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</si>
  <si>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</si>
  <si>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</si>
  <si>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</si>
  <si>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</si>
  <si>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</si>
  <si>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</si>
  <si>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</si>
  <si>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</si>
  <si>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</si>
  <si>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</si>
  <si>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</si>
  <si>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</si>
  <si>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</si>
  <si>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</si>
  <si>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</si>
  <si>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</si>
  <si>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</si>
  <si>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</si>
  <si>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</si>
  <si>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</si>
  <si>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</si>
  <si>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</si>
  <si>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</si>
  <si>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</si>
  <si>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</si>
  <si>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</si>
  <si>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</si>
  <si>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</si>
  <si>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</si>
  <si>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</si>
  <si>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</si>
  <si>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</si>
  <si>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</si>
  <si>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</si>
  <si>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</si>
  <si>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</si>
  <si>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</si>
  <si>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</si>
  <si>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</si>
  <si>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</si>
  <si>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</si>
  <si>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</si>
  <si>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</si>
  <si>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</si>
  <si>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</si>
  <si>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</si>
  <si>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</si>
  <si>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</si>
  <si>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</si>
  <si>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</si>
  <si>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</si>
  <si>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</si>
  <si>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</si>
  <si>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</si>
  <si>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</si>
  <si>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</si>
  <si>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</si>
  <si>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</si>
  <si>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</si>
  <si>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</si>
  <si>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</si>
  <si>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</si>
  <si>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</si>
  <si>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</si>
  <si>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</si>
  <si>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</si>
  <si>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</si>
  <si>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</si>
  <si>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</si>
  <si>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</si>
  <si>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</si>
  <si>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</si>
  <si>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</si>
  <si>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</si>
  <si>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</si>
  <si>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</si>
  <si>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</si>
  <si>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</si>
  <si>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</si>
  <si>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</si>
  <si>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</si>
  <si>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</si>
  <si>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</si>
  <si>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</si>
  <si>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</si>
  <si>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</si>
  <si>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</si>
  <si>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</si>
  <si>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</si>
  <si>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</si>
  <si>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</si>
  <si>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</si>
  <si>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</si>
  <si>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</si>
  <si>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</si>
  <si>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</si>
  <si>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</si>
  <si>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</si>
  <si>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</si>
  <si>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</si>
  <si>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</si>
  <si>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</si>
  <si>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</si>
  <si>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</si>
  <si>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</si>
  <si>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</si>
  <si>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</si>
  <si>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</si>
  <si>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</si>
  <si>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</si>
  <si>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</si>
  <si>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</si>
  <si>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</si>
  <si>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</si>
  <si>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</si>
  <si>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</si>
  <si>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</si>
  <si>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</si>
  <si>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</si>
  <si>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</si>
  <si>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</si>
  <si>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</si>
  <si>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</si>
  <si>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</si>
  <si>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</si>
  <si>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</si>
  <si>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</si>
  <si>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</si>
  <si>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</si>
  <si>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</si>
  <si>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</si>
  <si>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</si>
  <si>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</si>
  <si>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</si>
  <si>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</si>
  <si>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</si>
  <si>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</si>
  <si>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</si>
  <si>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</si>
  <si>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</si>
  <si>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</si>
  <si>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</si>
  <si>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</si>
  <si>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</si>
  <si>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</si>
  <si>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</si>
  <si>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</si>
  <si>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</si>
  <si>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</si>
  <si>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</si>
  <si>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</si>
  <si>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</si>
  <si>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</si>
  <si>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</si>
  <si>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</si>
  <si>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</si>
  <si>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</si>
  <si>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</si>
  <si>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</si>
  <si>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</si>
  <si>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</si>
  <si>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</si>
  <si>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</si>
  <si>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</si>
  <si>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</si>
  <si>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</si>
  <si>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</si>
  <si>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</si>
  <si>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</si>
  <si>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</si>
  <si>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</si>
  <si>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</si>
  <si>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</si>
  <si>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</si>
  <si>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</si>
  <si>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</si>
  <si>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</si>
  <si>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</si>
  <si>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</si>
  <si>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</si>
  <si>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</si>
  <si>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</si>
  <si>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</si>
  <si>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</si>
  <si>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</si>
  <si>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</si>
  <si>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</si>
  <si>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</si>
  <si>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</si>
  <si>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</si>
  <si>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</si>
  <si>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</si>
  <si>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</si>
  <si>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</si>
  <si>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</si>
  <si>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</si>
  <si>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</si>
  <si>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</si>
  <si>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</si>
  <si>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</si>
  <si>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</si>
  <si>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</si>
  <si>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</si>
  <si>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</si>
  <si>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</si>
  <si>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</si>
  <si>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</si>
  <si>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</si>
  <si>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</si>
  <si>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</si>
  <si>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</si>
  <si>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</si>
  <si>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</si>
  <si>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</si>
  <si>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</si>
  <si>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</si>
  <si>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</si>
  <si>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</si>
  <si>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</si>
  <si>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</si>
  <si>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</si>
  <si>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</si>
  <si>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</si>
  <si>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</si>
  <si>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</si>
  <si>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</si>
  <si>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</si>
  <si>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</si>
  <si>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</si>
  <si>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</si>
  <si>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</si>
  <si>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</si>
  <si>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</si>
  <si>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</si>
  <si>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</si>
  <si>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</si>
  <si>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</si>
  <si>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</si>
  <si>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</si>
  <si>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</si>
  <si>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</si>
  <si>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</si>
  <si>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</si>
  <si>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</si>
  <si>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</si>
  <si>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</si>
  <si>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</si>
  <si>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</si>
  <si>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</si>
  <si>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</si>
  <si>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</si>
  <si>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</si>
  <si>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</si>
  <si>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</si>
  <si>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</si>
  <si>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</si>
  <si>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</si>
  <si>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</si>
  <si>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</si>
  <si>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</si>
  <si>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</si>
  <si>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</si>
  <si>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</si>
  <si>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</si>
  <si>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</si>
  <si>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</si>
  <si>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</si>
  <si>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</si>
  <si>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</si>
  <si>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</si>
  <si>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</si>
  <si>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</si>
  <si>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</si>
  <si>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</si>
  <si>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</si>
  <si>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</si>
  <si>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</si>
  <si>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</si>
  <si>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</si>
  <si>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</si>
  <si>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</si>
  <si>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</si>
  <si>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</si>
  <si>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</si>
  <si>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</si>
  <si>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</si>
  <si>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</si>
  <si>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</si>
  <si>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</si>
  <si>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</si>
  <si>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</si>
  <si>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</si>
  <si>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</si>
  <si>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</si>
  <si>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</si>
  <si>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</si>
  <si>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</si>
  <si>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</si>
  <si>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</si>
  <si>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</si>
  <si>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</si>
  <si>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</si>
  <si>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</si>
  <si>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</si>
  <si>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</si>
  <si>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</si>
  <si>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</si>
  <si>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</si>
  <si>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</si>
  <si>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</si>
  <si>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</si>
  <si>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</si>
  <si>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</si>
  <si>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</si>
  <si>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</si>
  <si>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</si>
  <si>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</si>
  <si>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</si>
  <si>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</si>
  <si>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</si>
  <si>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</si>
  <si>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</si>
  <si>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</si>
  <si>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</si>
  <si>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</si>
  <si>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</si>
  <si>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</si>
  <si>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</si>
  <si>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</si>
  <si>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</si>
  <si>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</si>
  <si>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</si>
  <si>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</si>
  <si>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</si>
  <si>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</si>
  <si>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</si>
  <si>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</si>
  <si>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</si>
  <si>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</si>
  <si>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</si>
  <si>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</si>
  <si>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</si>
  <si>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</si>
  <si>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</si>
  <si>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</si>
  <si>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</si>
  <si>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</si>
  <si>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</si>
  <si>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</si>
  <si>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</si>
  <si>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</si>
  <si>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</si>
  <si>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</si>
  <si>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</si>
  <si>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</si>
  <si>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</si>
  <si>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</si>
  <si>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</si>
  <si>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</si>
  <si>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</si>
  <si>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</si>
  <si>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</si>
  <si>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</si>
  <si>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</si>
  <si>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</si>
  <si>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</si>
  <si>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</si>
  <si>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</si>
  <si>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</si>
  <si>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</si>
  <si>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</si>
  <si>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</si>
  <si>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</si>
  <si>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</si>
  <si>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</si>
  <si>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</si>
  <si>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</si>
  <si>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</si>
  <si>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</si>
  <si>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</si>
  <si>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</si>
  <si>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</si>
  <si>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</si>
  <si>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</si>
  <si>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</si>
  <si>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</si>
  <si>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</si>
  <si>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</si>
  <si>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</si>
  <si>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</si>
  <si>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</si>
  <si>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</si>
  <si>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</si>
  <si>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</si>
  <si>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</si>
  <si>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</si>
  <si>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</si>
  <si>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</si>
  <si>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</si>
  <si>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</si>
  <si>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</si>
  <si>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</si>
  <si>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</si>
  <si>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</si>
  <si>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</si>
  <si>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</si>
  <si>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</si>
  <si>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</si>
  <si>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</si>
  <si>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</si>
  <si>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</si>
  <si>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</si>
  <si>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</si>
  <si>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</si>
  <si>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</si>
  <si>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</si>
  <si>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</si>
  <si>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</si>
  <si>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</si>
  <si>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</si>
  <si>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</si>
  <si>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</si>
  <si>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</si>
  <si>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</si>
  <si>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</si>
  <si>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</si>
  <si>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</si>
  <si>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</si>
  <si>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</si>
  <si>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</si>
  <si>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</si>
  <si>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</si>
  <si>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</si>
  <si>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</si>
  <si>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</si>
  <si>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</si>
  <si>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</si>
  <si>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</si>
  <si>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</si>
  <si>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</si>
  <si>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</si>
  <si>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</si>
  <si>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</si>
  <si>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</si>
  <si>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</si>
  <si>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</si>
  <si>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</si>
  <si>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</si>
  <si>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</si>
  <si>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</si>
  <si>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</si>
  <si>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</si>
  <si>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</si>
  <si>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</si>
  <si>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</si>
  <si>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</si>
  <si>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</si>
  <si>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</si>
  <si>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</si>
  <si>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</si>
  <si>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</si>
  <si>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</si>
  <si>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</si>
  <si>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</si>
  <si>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</si>
  <si>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</si>
  <si>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</si>
  <si>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</si>
  <si>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</si>
  <si>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</si>
  <si>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</si>
  <si>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</si>
  <si>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</si>
  <si>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</si>
  <si>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</si>
  <si>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</si>
  <si>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</si>
  <si>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</si>
  <si>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</si>
  <si>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</si>
  <si>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</si>
  <si>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</si>
  <si>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</si>
  <si>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</si>
  <si>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</si>
  <si>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</si>
  <si>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</si>
  <si>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</si>
  <si>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</si>
  <si>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</si>
  <si>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</si>
  <si>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</si>
  <si>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</si>
  <si>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</si>
  <si>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</si>
  <si>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</si>
  <si>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</si>
  <si>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</si>
  <si>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</si>
  <si>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</si>
  <si>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</si>
  <si>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</si>
  <si>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</si>
  <si>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</si>
  <si>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</si>
  <si>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</si>
  <si>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</si>
  <si>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</si>
  <si>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</si>
  <si>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</si>
  <si>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</si>
  <si>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</si>
  <si>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</si>
  <si>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</si>
  <si>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</si>
  <si>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</si>
  <si>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</si>
  <si>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</si>
  <si>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</si>
  <si>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</si>
  <si>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</si>
  <si>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</si>
  <si>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</si>
  <si>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</si>
  <si>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</si>
  <si>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</si>
  <si>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</si>
  <si>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</si>
  <si>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</si>
  <si>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</si>
  <si>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</si>
  <si>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</si>
  <si>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</si>
  <si>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</si>
  <si>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</si>
  <si>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</si>
  <si>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</si>
  <si>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</si>
  <si>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</si>
  <si>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</si>
  <si>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</si>
  <si>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</si>
  <si>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</si>
  <si>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</si>
  <si>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</si>
  <si>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</si>
  <si>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</si>
  <si>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</si>
  <si>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</si>
  <si>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</si>
  <si>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</si>
  <si>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</si>
  <si>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</si>
  <si>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</si>
  <si>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</si>
  <si>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</si>
  <si>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</si>
  <si>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</si>
  <si>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</si>
  <si>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</si>
  <si>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</si>
  <si>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</si>
  <si>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</si>
  <si>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</si>
  <si>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</si>
  <si>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</si>
  <si>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</si>
  <si>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</si>
  <si>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</si>
  <si>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</si>
  <si>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</si>
  <si>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</si>
  <si>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</si>
  <si>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</si>
  <si>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</si>
  <si>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</si>
  <si>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</si>
  <si>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</si>
  <si>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</si>
  <si>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</si>
  <si>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</si>
  <si>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</si>
  <si>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</si>
  <si>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</si>
  <si>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</si>
  <si>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</si>
  <si>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</si>
  <si>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</si>
  <si>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</si>
  <si>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</si>
  <si>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</si>
  <si>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</si>
  <si>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</si>
  <si>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</si>
  <si>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</si>
  <si>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</si>
  <si>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</si>
  <si>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</si>
  <si>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</si>
  <si>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</si>
  <si>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</si>
  <si>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</si>
  <si>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</si>
  <si>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</si>
  <si>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</si>
  <si>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</si>
  <si>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</si>
  <si>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</si>
  <si>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</si>
  <si>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</si>
  <si>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</si>
  <si>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</si>
  <si>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</si>
  <si>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</si>
  <si>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</si>
  <si>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</si>
  <si>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</si>
  <si>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</si>
  <si>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</si>
  <si>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</si>
  <si>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</si>
  <si>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</si>
  <si>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</si>
  <si>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</si>
  <si>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</si>
  <si>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</si>
  <si>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</si>
  <si>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</si>
  <si>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</si>
  <si>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</si>
  <si>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</si>
  <si>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</si>
  <si>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</si>
  <si>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</si>
  <si>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</si>
  <si>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</si>
  <si>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</si>
  <si>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</si>
  <si>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</si>
  <si>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</si>
  <si>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</si>
  <si>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</si>
  <si>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</si>
  <si>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</si>
  <si>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</si>
  <si>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</si>
  <si>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</si>
  <si>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</si>
  <si>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</si>
  <si>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</si>
  <si>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</si>
  <si>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</si>
  <si>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</si>
  <si>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</si>
  <si>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</si>
  <si>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</si>
  <si>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</si>
  <si>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</si>
  <si>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</si>
  <si>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</si>
  <si>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</si>
  <si>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</si>
  <si>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</si>
  <si>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</si>
  <si>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</si>
  <si>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</si>
  <si>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</si>
  <si>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</si>
  <si>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</si>
  <si>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</si>
  <si>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</si>
  <si>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</si>
  <si>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</si>
  <si>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</si>
  <si>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</si>
  <si>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</si>
  <si>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</si>
  <si>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</si>
  <si>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</si>
  <si>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</si>
  <si>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</si>
  <si>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</si>
  <si>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</si>
  <si>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</si>
  <si>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</si>
  <si>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</si>
  <si>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</si>
  <si>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</si>
  <si>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</si>
  <si>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</si>
  <si>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</si>
  <si>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</si>
  <si>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</si>
  <si>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</si>
  <si>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</si>
  <si>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</si>
  <si>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</si>
  <si>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</si>
  <si>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</si>
  <si>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</si>
  <si>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</si>
  <si>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</si>
  <si>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</si>
  <si>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</si>
  <si>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</si>
  <si>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</si>
  <si>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</si>
  <si>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</si>
  <si>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</si>
  <si>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</si>
  <si>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</si>
  <si>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</si>
  <si>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</si>
  <si>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</si>
  <si>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</si>
  <si>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</si>
  <si>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</si>
  <si>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</si>
  <si>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</si>
  <si>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</si>
  <si>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</si>
  <si>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</si>
  <si>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</si>
  <si>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</si>
  <si>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</si>
  <si>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</si>
  <si>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</si>
  <si>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</si>
  <si>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</si>
  <si>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</si>
  <si>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</si>
  <si>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</si>
  <si>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</si>
  <si>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</si>
  <si>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</si>
  <si>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</si>
  <si>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</si>
  <si>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</si>
  <si>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</si>
  <si>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</si>
  <si>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</si>
  <si>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</si>
  <si>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</si>
  <si>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</si>
  <si>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</si>
  <si>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</si>
  <si>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</si>
  <si>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</si>
  <si>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</si>
  <si>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</si>
  <si>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</si>
  <si>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</si>
  <si>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</si>
  <si>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</si>
  <si>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</si>
  <si>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</si>
  <si>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</si>
  <si>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</si>
  <si>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</si>
  <si>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</si>
  <si>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</si>
  <si>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</si>
  <si>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</si>
  <si>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</si>
  <si>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</si>
  <si>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</si>
  <si>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</si>
  <si>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</si>
  <si>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</si>
  <si>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</si>
  <si>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</si>
  <si>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</si>
  <si>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</si>
  <si>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</si>
  <si>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</si>
  <si>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</si>
  <si>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</si>
  <si>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</si>
  <si>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</si>
  <si>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</si>
  <si>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</si>
  <si>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</si>
  <si>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</si>
  <si>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</si>
  <si>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</si>
  <si>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</si>
  <si>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</si>
  <si>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</si>
  <si>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</si>
  <si>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</si>
  <si>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</si>
  <si>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</si>
  <si>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</si>
  <si>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</si>
  <si>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</si>
  <si>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</si>
  <si>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</si>
  <si>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</si>
  <si>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</si>
  <si>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</si>
  <si>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</si>
  <si>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</si>
  <si>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</si>
  <si>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</si>
  <si>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</si>
  <si>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</si>
  <si>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</si>
  <si>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</si>
  <si>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</si>
  <si>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</si>
  <si>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</si>
  <si>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</si>
  <si>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</si>
  <si>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</si>
  <si>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</si>
  <si>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</si>
  <si>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</si>
  <si>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</si>
  <si>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</si>
  <si>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</si>
  <si>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</si>
  <si>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</si>
  <si>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</si>
  <si>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</si>
  <si>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</si>
  <si>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</si>
  <si>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</si>
  <si>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</si>
  <si>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</si>
  <si>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</si>
  <si>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</si>
  <si>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</si>
  <si>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</si>
  <si>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</si>
  <si>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</si>
  <si>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</si>
  <si>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</si>
  <si>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</si>
  <si>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</si>
  <si>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</si>
  <si>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</si>
  <si>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</si>
  <si>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</si>
  <si>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</si>
  <si>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</si>
  <si>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</si>
  <si>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</si>
  <si>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</si>
  <si>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</si>
  <si>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</si>
  <si>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</si>
  <si>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</si>
  <si>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</si>
  <si>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</si>
  <si>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</si>
  <si>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</si>
  <si>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</si>
  <si>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</si>
  <si>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</si>
  <si>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</si>
  <si>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</si>
  <si>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</si>
  <si>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</si>
  <si>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</si>
  <si>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</si>
  <si>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</si>
  <si>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</si>
  <si>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</si>
  <si>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</si>
  <si>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</si>
  <si>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</si>
  <si>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</si>
  <si>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</si>
  <si>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</si>
  <si>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</si>
  <si>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</si>
  <si>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</si>
  <si>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</si>
  <si>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</si>
  <si>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</si>
  <si>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</si>
  <si>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</si>
  <si>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</si>
  <si>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</si>
  <si>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</si>
  <si>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</si>
  <si>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</si>
  <si>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</si>
  <si>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</si>
  <si>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</si>
  <si>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</si>
  <si>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</si>
  <si>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</si>
  <si>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</si>
  <si>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</si>
  <si>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</si>
  <si>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</si>
  <si>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</si>
  <si>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</si>
  <si>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</si>
  <si>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</si>
  <si>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</si>
  <si>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</si>
  <si>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</si>
  <si>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</si>
  <si>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</si>
  <si>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</si>
  <si>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</si>
  <si>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</si>
  <si>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</si>
  <si>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</si>
  <si>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</si>
  <si>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</si>
  <si>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</si>
  <si>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</si>
  <si>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</si>
  <si>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</si>
  <si>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</si>
  <si>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</si>
  <si>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</si>
  <si>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</si>
  <si>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</si>
  <si>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</si>
  <si>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</si>
  <si>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</si>
  <si>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</si>
  <si>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</si>
  <si>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</si>
  <si>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</si>
  <si>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</si>
  <si>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</si>
  <si>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</si>
  <si>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</si>
  <si>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</si>
  <si>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</si>
  <si>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</si>
  <si>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</si>
  <si>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</si>
  <si>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</si>
  <si>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</si>
  <si>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</si>
  <si>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</si>
  <si>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</si>
  <si>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</si>
  <si>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</si>
  <si>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</si>
  <si>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</si>
  <si>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</si>
  <si>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</si>
  <si>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</si>
  <si>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</si>
  <si>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</si>
  <si>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</si>
  <si>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</si>
  <si>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</si>
  <si>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</si>
  <si>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</si>
  <si>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</si>
  <si>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</si>
  <si>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</si>
  <si>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</si>
  <si>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</si>
  <si>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</si>
  <si>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</si>
  <si>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</si>
  <si>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</si>
  <si>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</si>
  <si>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</si>
  <si>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</si>
  <si>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</si>
  <si>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</si>
  <si>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</si>
  <si>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</si>
  <si>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</si>
  <si>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</si>
  <si>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</si>
  <si>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</si>
  <si>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</si>
  <si>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</si>
  <si>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</si>
  <si>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</si>
  <si>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</si>
  <si>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</si>
  <si>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</si>
  <si>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</si>
  <si>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</si>
  <si>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</si>
  <si>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</si>
  <si>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</si>
  <si>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</si>
  <si>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</si>
  <si>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</si>
  <si>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</si>
  <si>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</si>
  <si>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</si>
  <si>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</si>
  <si>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</si>
  <si>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</si>
  <si>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</si>
  <si>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</si>
  <si>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</si>
  <si>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</si>
  <si>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</si>
  <si>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</si>
  <si>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</si>
  <si>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</si>
  <si>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</si>
  <si>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</si>
  <si>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</si>
  <si>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</si>
  <si>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</si>
  <si>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</si>
  <si>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</si>
  <si>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</si>
  <si>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</si>
  <si>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</si>
  <si>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</si>
  <si>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</si>
  <si>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</si>
  <si>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</si>
  <si>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</si>
  <si>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</si>
  <si>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</si>
  <si>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</si>
  <si>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</si>
  <si>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</si>
  <si>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</si>
  <si>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</si>
  <si>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</si>
  <si>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</si>
  <si>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</si>
  <si>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</si>
  <si>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</si>
  <si>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</si>
  <si>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</si>
  <si>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</si>
  <si>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</si>
  <si>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</si>
  <si>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</si>
  <si>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</si>
  <si>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</si>
  <si>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</si>
  <si>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</si>
  <si>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</si>
  <si>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</si>
  <si>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</si>
  <si>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</si>
  <si>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</si>
  <si>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</si>
  <si>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</si>
  <si>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</si>
  <si>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</si>
  <si>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</si>
  <si>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</si>
  <si>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</si>
  <si>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</si>
  <si>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</si>
  <si>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</si>
  <si>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</si>
  <si>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</si>
  <si>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</si>
  <si>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</si>
  <si>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</si>
  <si>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</si>
  <si>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</si>
  <si>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</si>
  <si>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</si>
  <si>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</si>
  <si>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</si>
  <si>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</si>
  <si>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</si>
  <si>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</si>
  <si>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</si>
  <si>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</si>
  <si>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</si>
  <si>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</si>
  <si>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</si>
  <si>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</si>
  <si>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</si>
  <si>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</si>
  <si>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</si>
  <si>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</si>
  <si>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</si>
  <si>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</si>
  <si>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</si>
  <si>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</si>
  <si>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</si>
  <si>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</si>
  <si>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</si>
  <si>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</si>
  <si>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</si>
  <si>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</si>
  <si>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</si>
  <si>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</si>
  <si>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</si>
  <si>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</si>
  <si>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</si>
  <si>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</si>
  <si>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</si>
  <si>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</si>
  <si>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</si>
  <si>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</si>
  <si>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</si>
  <si>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</si>
  <si>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</si>
  <si>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</si>
  <si>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</si>
  <si>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</si>
  <si>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</si>
  <si>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</si>
  <si>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</si>
  <si>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</si>
  <si>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</si>
  <si>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</si>
  <si>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</si>
  <si>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</si>
  <si>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</si>
  <si>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</si>
  <si>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</si>
  <si>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</si>
  <si>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</si>
  <si>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</si>
  <si>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</si>
  <si>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</si>
  <si>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</si>
  <si>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</si>
  <si>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</si>
  <si>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</si>
  <si>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</si>
  <si>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</si>
  <si>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</si>
  <si>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</si>
  <si>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</si>
  <si>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</si>
  <si>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</si>
  <si>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</si>
  <si>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</si>
  <si>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</si>
  <si>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</si>
  <si>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</si>
  <si>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</si>
  <si>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</si>
  <si>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</si>
  <si>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</si>
  <si>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</si>
  <si>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</si>
  <si>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</si>
  <si>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</si>
  <si>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</si>
  <si>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</si>
  <si>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</si>
  <si>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</si>
  <si>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</si>
  <si>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</si>
  <si>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</si>
  <si>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</si>
  <si>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</si>
  <si>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</si>
  <si>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</si>
  <si>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</si>
  <si>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</si>
  <si>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</si>
  <si>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</si>
  <si>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</si>
  <si>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</si>
  <si>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</si>
  <si>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</si>
  <si>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</si>
  <si>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</si>
  <si>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</si>
  <si>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</si>
  <si>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</si>
  <si>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</si>
  <si>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</si>
  <si>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</si>
  <si>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</si>
  <si>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</si>
  <si>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</si>
  <si>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</si>
  <si>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</si>
  <si>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</si>
  <si>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</si>
  <si>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</si>
  <si>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</si>
  <si>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</si>
  <si>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</si>
  <si>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</si>
  <si>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</si>
  <si>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</si>
  <si>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</si>
  <si>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</si>
  <si>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</si>
  <si>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</si>
  <si>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</si>
  <si>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</si>
  <si>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</si>
  <si>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</si>
  <si>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</si>
  <si>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</si>
  <si>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</si>
  <si>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</si>
  <si>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</si>
  <si>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</si>
  <si>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</si>
  <si>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</si>
  <si>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</si>
  <si>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</si>
  <si>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</si>
  <si>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</si>
  <si>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</si>
  <si>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</si>
  <si>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</si>
  <si>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</si>
  <si>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</si>
  <si>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</si>
  <si>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</si>
  <si>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</si>
  <si>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</si>
  <si>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</si>
  <si>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</si>
  <si>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</si>
  <si>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</si>
  <si>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</si>
  <si>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</si>
  <si>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</si>
  <si>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</si>
  <si>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</si>
  <si>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</si>
  <si>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</si>
  <si>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</si>
  <si>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</si>
  <si>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</si>
  <si>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</si>
  <si>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</si>
  <si>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</si>
  <si>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</si>
  <si>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</si>
  <si>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</si>
  <si>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</si>
  <si>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</si>
  <si>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</si>
  <si>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</si>
  <si>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</si>
  <si>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</si>
  <si>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</si>
  <si>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</si>
  <si>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</si>
  <si>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</si>
  <si>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</si>
  <si>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</si>
  <si>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</si>
  <si>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</si>
  <si>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</si>
  <si>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</si>
  <si>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</si>
  <si>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</si>
  <si>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</si>
  <si>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</si>
  <si>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</si>
  <si>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</si>
  <si>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</si>
  <si>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</si>
  <si>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</si>
  <si>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</si>
  <si>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</si>
  <si>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</si>
  <si>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</si>
  <si>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</si>
  <si>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</si>
  <si>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</si>
  <si>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</si>
  <si>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</si>
  <si>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</si>
  <si>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</si>
  <si>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</si>
  <si>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</si>
  <si>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</si>
  <si>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</si>
  <si>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</si>
  <si>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</si>
  <si>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</si>
  <si>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</si>
  <si>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</si>
  <si>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</si>
  <si>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</si>
  <si>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</si>
  <si>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</si>
  <si>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</si>
  <si>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</si>
  <si>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</si>
  <si>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</si>
  <si>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</si>
  <si>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</si>
  <si>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</si>
  <si>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</si>
  <si>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</si>
  <si>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</si>
  <si>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</si>
  <si>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</si>
  <si>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</si>
  <si>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</si>
  <si>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</si>
  <si>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</si>
  <si>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</si>
  <si>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</si>
  <si>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</si>
  <si>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</si>
  <si>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</si>
  <si>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</si>
  <si>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</si>
  <si>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</si>
  <si>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</si>
  <si>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</si>
  <si>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</si>
  <si>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</si>
  <si>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</si>
  <si>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</si>
  <si>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</si>
  <si>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</si>
  <si>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</si>
  <si>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</si>
  <si>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</si>
  <si>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</si>
  <si>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</si>
  <si>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</si>
  <si>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</si>
  <si>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</si>
  <si>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</si>
  <si>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</si>
  <si>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</si>
  <si>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</si>
  <si>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</si>
  <si>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</si>
  <si>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</si>
  <si>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</si>
  <si>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</si>
  <si>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</si>
  <si>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</si>
  <si>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</si>
  <si>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</si>
  <si>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</si>
  <si>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</si>
  <si>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</si>
  <si>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</si>
  <si>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</si>
  <si>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</si>
  <si>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</si>
  <si>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</si>
  <si>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</si>
  <si>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</si>
  <si>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</si>
  <si>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</si>
  <si>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</si>
  <si>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</si>
  <si>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</si>
  <si>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</si>
  <si>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</si>
  <si>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</si>
  <si>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</si>
  <si>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</si>
  <si>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</si>
  <si>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</si>
  <si>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</si>
  <si>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</si>
  <si>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</si>
  <si>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</si>
  <si>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</si>
  <si>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</si>
  <si>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</si>
  <si>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</si>
  <si>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</si>
  <si>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</si>
  <si>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</si>
  <si>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</si>
  <si>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</si>
  <si>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</si>
  <si>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</si>
  <si>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</si>
  <si>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</si>
  <si>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</si>
  <si>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</si>
  <si>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</si>
  <si>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</si>
  <si>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</si>
  <si>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</si>
  <si>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</si>
  <si>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</si>
  <si>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</si>
  <si>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</si>
  <si>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</si>
  <si>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</si>
  <si>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</si>
  <si>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</si>
  <si>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</si>
  <si>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</si>
  <si>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</si>
  <si>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</si>
  <si>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</si>
  <si>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</si>
  <si>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</si>
  <si>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</si>
  <si>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</si>
  <si>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</si>
  <si>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</si>
  <si>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</si>
  <si>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</si>
  <si>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</si>
  <si>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</si>
  <si>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</si>
  <si>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</si>
  <si>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</si>
  <si>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</si>
  <si>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</si>
  <si>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</si>
  <si>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</si>
  <si>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</si>
  <si>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</si>
  <si>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</si>
  <si>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</si>
  <si>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</si>
  <si>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</si>
  <si>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</si>
  <si>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</si>
  <si>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</si>
  <si>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</si>
  <si>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</si>
  <si>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</si>
  <si>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</si>
  <si>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</si>
  <si>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</si>
  <si>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</si>
  <si>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</si>
  <si>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</si>
  <si>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</si>
  <si>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</si>
  <si>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</si>
  <si>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</si>
  <si>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</si>
  <si>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</si>
  <si>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</si>
  <si>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</si>
  <si>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</si>
  <si>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</si>
  <si>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</si>
  <si>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</si>
  <si>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</si>
  <si>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</si>
  <si>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</si>
  <si>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</si>
  <si>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</si>
  <si>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</si>
  <si>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</si>
  <si>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</si>
  <si>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</si>
  <si>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</si>
  <si>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</si>
  <si>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</si>
  <si>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</si>
  <si>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</si>
  <si>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</si>
  <si>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</si>
  <si>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</si>
  <si>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</si>
  <si>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</si>
  <si>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</si>
  <si>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</si>
  <si>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</si>
  <si>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</si>
  <si>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</si>
  <si>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</si>
  <si>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</si>
  <si>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</si>
  <si>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</si>
  <si>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</si>
  <si>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</si>
  <si>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</si>
  <si>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</si>
  <si>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</si>
  <si>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</si>
  <si>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</si>
  <si>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</si>
  <si>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</si>
  <si>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</si>
  <si>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</si>
  <si>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</si>
  <si>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</si>
  <si>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</si>
  <si>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</si>
  <si>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</si>
  <si>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</si>
  <si>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</si>
  <si>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</si>
  <si>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</si>
  <si>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</si>
  <si>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</si>
  <si>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</si>
  <si>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</si>
  <si>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</si>
  <si>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</si>
  <si>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</si>
  <si>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</si>
  <si>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</si>
  <si>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</si>
  <si>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</si>
  <si>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</si>
  <si>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</si>
  <si>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</si>
  <si>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</si>
  <si>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</si>
  <si>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</si>
  <si>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</si>
  <si>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</si>
  <si>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</si>
  <si>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</si>
  <si>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</si>
  <si>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</si>
  <si>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</si>
  <si>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</si>
  <si>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</si>
  <si>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</si>
  <si>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</si>
  <si>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</si>
  <si>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</si>
  <si>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</si>
  <si>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</si>
  <si>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</si>
  <si>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</si>
  <si>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</si>
  <si>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</si>
  <si>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</si>
  <si>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</si>
  <si>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</si>
  <si>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</si>
  <si>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</si>
  <si>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</si>
  <si>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</si>
  <si>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</si>
  <si>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</si>
  <si>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</si>
  <si>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</si>
  <si>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</si>
  <si>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</si>
  <si>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</si>
  <si>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</si>
  <si>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</si>
  <si>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</si>
  <si>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</si>
  <si>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</si>
  <si>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</si>
  <si>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</si>
  <si>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</si>
  <si>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</si>
  <si>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</si>
  <si>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</si>
  <si>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</si>
  <si>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</si>
  <si>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</si>
  <si>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</si>
  <si>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</si>
  <si>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</si>
  <si>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</si>
  <si>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</si>
  <si>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</si>
  <si>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</si>
  <si>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</si>
  <si>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</si>
  <si>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</si>
  <si>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</si>
  <si>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</si>
  <si>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</si>
  <si>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</si>
  <si>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</si>
  <si>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</si>
  <si>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</si>
  <si>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</si>
  <si>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</si>
  <si>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</si>
  <si>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</si>
  <si>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</si>
  <si>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</si>
  <si>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</si>
  <si>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</si>
  <si>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</si>
  <si>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</si>
  <si>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</si>
  <si>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</si>
  <si>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</si>
  <si>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</si>
  <si>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</si>
  <si>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</si>
  <si>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</si>
  <si>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</si>
  <si>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</si>
  <si>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</si>
  <si>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</si>
  <si>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</si>
  <si>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</si>
  <si>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</si>
  <si>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</si>
  <si>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</si>
  <si>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</si>
  <si>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</si>
  <si>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</si>
  <si>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</si>
  <si>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</si>
  <si>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</si>
  <si>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</si>
  <si>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</si>
  <si>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</si>
  <si>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</si>
  <si>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</si>
  <si>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</si>
  <si>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</si>
  <si>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</si>
  <si>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</si>
  <si>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</si>
  <si>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</si>
  <si>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</si>
  <si>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</si>
  <si>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</si>
  <si>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</si>
  <si>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</si>
  <si>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</si>
  <si>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</si>
  <si>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</si>
  <si>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</si>
  <si>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</si>
  <si>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</si>
  <si>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</si>
  <si>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</si>
  <si>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</si>
  <si>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</si>
  <si>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</si>
  <si>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</si>
  <si>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</si>
  <si>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</si>
  <si>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</si>
  <si>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</si>
  <si>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</si>
  <si>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</si>
  <si>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</si>
  <si>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</si>
  <si>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</si>
  <si>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</si>
  <si>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</si>
  <si>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</si>
  <si>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</si>
  <si>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</si>
  <si>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</si>
  <si>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</si>
  <si>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</si>
  <si>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</si>
  <si>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</si>
  <si>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</si>
  <si>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</si>
  <si>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</si>
  <si>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</si>
  <si>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</si>
  <si>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</si>
  <si>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</si>
  <si>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</si>
  <si>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</si>
  <si>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</si>
  <si>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</si>
  <si>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</si>
  <si>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</si>
  <si>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</si>
  <si>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</si>
  <si>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</si>
  <si>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</si>
  <si>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</si>
  <si>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</si>
  <si>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</si>
  <si>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</si>
  <si>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</si>
  <si>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</si>
  <si>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</si>
  <si>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</si>
  <si>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</si>
  <si>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</si>
  <si>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</si>
  <si>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</si>
  <si>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</si>
  <si>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</si>
  <si>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</si>
  <si>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</si>
  <si>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</si>
  <si>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</si>
  <si>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</si>
  <si>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</si>
  <si>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</si>
  <si>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</si>
  <si>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</si>
  <si>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</si>
  <si>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</si>
  <si>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</si>
  <si>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</si>
  <si>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</si>
  <si>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</si>
  <si>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</si>
  <si>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</si>
  <si>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</si>
  <si>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</si>
  <si>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</si>
  <si>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</si>
  <si>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</si>
  <si>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</si>
  <si>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</si>
  <si>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</si>
  <si>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</si>
  <si>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</si>
  <si>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</si>
  <si>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</si>
  <si>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</si>
  <si>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</si>
  <si>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</si>
  <si>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</si>
  <si>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</si>
  <si>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</si>
  <si>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</si>
  <si>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</si>
  <si>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</si>
  <si>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</si>
  <si>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</si>
  <si>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</si>
  <si>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</si>
  <si>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</si>
  <si>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</si>
  <si>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</si>
  <si>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</si>
  <si>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</si>
  <si>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</si>
  <si>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</si>
  <si>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</si>
  <si>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</si>
  <si>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</si>
  <si>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</si>
  <si>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</si>
  <si>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</si>
  <si>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</si>
  <si>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</si>
  <si>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</si>
  <si>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</si>
  <si>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</si>
  <si>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</si>
  <si>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</si>
  <si>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</si>
  <si>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</si>
  <si>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</si>
  <si>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</si>
  <si>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</si>
  <si>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</si>
  <si>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</si>
  <si>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</si>
  <si>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</si>
  <si>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</si>
  <si>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</si>
  <si>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</si>
  <si>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</si>
  <si>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</si>
  <si>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</si>
  <si>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</si>
  <si>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</si>
  <si>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</si>
  <si>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</si>
  <si>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</si>
  <si>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</si>
  <si>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</si>
  <si>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</si>
  <si>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</si>
  <si>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</si>
  <si>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</si>
  <si>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</si>
  <si>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</si>
  <si>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</si>
  <si>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</si>
  <si>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</si>
  <si>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</si>
  <si>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</si>
  <si>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</si>
  <si>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</si>
  <si>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</si>
  <si>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</si>
  <si>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</si>
  <si>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</si>
  <si>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</si>
  <si>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</si>
  <si>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</si>
  <si>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</si>
  <si>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</si>
  <si>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</si>
  <si>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</si>
  <si>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</si>
  <si>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</si>
  <si>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</si>
  <si>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</si>
  <si>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</si>
  <si>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</si>
  <si>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</si>
  <si>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</si>
  <si>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</si>
  <si>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</si>
  <si>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</si>
  <si>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</si>
  <si>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</si>
  <si>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</si>
  <si>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</si>
  <si>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</si>
  <si>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</si>
  <si>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</si>
  <si>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</si>
  <si>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</si>
  <si>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</si>
  <si>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</si>
  <si>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</si>
  <si>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</si>
  <si>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</si>
  <si>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</si>
  <si>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</si>
  <si>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</si>
  <si>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</si>
  <si>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</si>
  <si>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</si>
  <si>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</si>
  <si>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</si>
  <si>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</si>
  <si>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</si>
  <si>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</si>
  <si>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</si>
  <si>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</si>
  <si>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</si>
  <si>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</si>
  <si>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</si>
  <si>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</si>
  <si>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</si>
  <si>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</si>
  <si>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</si>
  <si>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</si>
  <si>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</si>
  <si>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</si>
  <si>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</si>
  <si>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</si>
  <si>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</si>
  <si>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</si>
  <si>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</si>
  <si>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</si>
  <si>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</si>
  <si>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</si>
  <si>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</si>
  <si>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</si>
  <si>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</si>
  <si>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</si>
  <si>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</si>
  <si>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</si>
  <si>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</si>
  <si>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</si>
  <si>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</si>
  <si>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</si>
  <si>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</si>
  <si>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</si>
  <si>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</si>
  <si>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</si>
  <si>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</si>
  <si>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</si>
  <si>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</si>
  <si>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</si>
  <si>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</si>
  <si>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</si>
  <si>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</si>
  <si>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</si>
  <si>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</si>
  <si>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</si>
  <si>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</si>
  <si>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</si>
  <si>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</si>
  <si>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</si>
  <si>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</si>
  <si>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</si>
  <si>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</si>
  <si>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</si>
  <si>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</si>
  <si>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</si>
  <si>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</si>
  <si>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</si>
  <si>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</si>
  <si>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</si>
  <si>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</si>
  <si>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</si>
  <si>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</si>
  <si>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</si>
  <si>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</si>
  <si>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</si>
  <si>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</si>
  <si>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</si>
  <si>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</si>
  <si>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</si>
  <si>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</si>
  <si>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</si>
  <si>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</si>
  <si>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</si>
  <si>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</si>
  <si>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</si>
  <si>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</si>
  <si>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</si>
  <si>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</si>
  <si>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</si>
  <si>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</si>
  <si>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</si>
  <si>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</si>
  <si>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</si>
  <si>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</si>
  <si>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</si>
  <si>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</si>
  <si>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</si>
  <si>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</si>
  <si>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</si>
  <si>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</si>
  <si>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</si>
  <si>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</si>
  <si>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</si>
  <si>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</si>
  <si>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</si>
  <si>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</si>
  <si>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</si>
  <si>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</si>
  <si>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</si>
  <si>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</si>
  <si>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</si>
  <si>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</si>
  <si>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</si>
  <si>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</si>
  <si>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</si>
  <si>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</si>
  <si>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</si>
  <si>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</si>
  <si>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</si>
  <si>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</si>
  <si>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</si>
  <si>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</si>
  <si>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</si>
  <si>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</si>
  <si>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</si>
  <si>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</si>
  <si>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</si>
  <si>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</si>
  <si>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</si>
  <si>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</si>
  <si>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</si>
  <si>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</si>
  <si>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</si>
  <si>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</si>
  <si>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</si>
  <si>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</si>
  <si>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</si>
  <si>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</si>
  <si>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</si>
  <si>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</si>
  <si>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</si>
  <si>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</si>
  <si>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</si>
  <si>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</si>
  <si>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</si>
  <si>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</si>
  <si>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</si>
  <si>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</si>
  <si>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</si>
  <si>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</si>
  <si>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</si>
  <si>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</si>
  <si>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</si>
  <si>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</si>
  <si>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</si>
  <si>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</si>
  <si>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</si>
  <si>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</si>
  <si>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</si>
  <si>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</si>
  <si>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</si>
  <si>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</si>
  <si>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</si>
  <si>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</si>
  <si>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</si>
  <si>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</si>
  <si>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</si>
  <si>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</si>
  <si>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</si>
  <si>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</si>
  <si>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</si>
  <si>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</si>
  <si>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</si>
  <si>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</si>
  <si>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</si>
  <si>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</si>
  <si>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</si>
  <si>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</si>
  <si>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</si>
  <si>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</si>
  <si>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</si>
  <si>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</si>
  <si>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</si>
  <si>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</si>
  <si>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</si>
  <si>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</si>
  <si>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</si>
  <si>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</si>
  <si>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</si>
  <si>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</si>
  <si>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</si>
  <si>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</si>
  <si>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</si>
  <si>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</si>
  <si>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</si>
  <si>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</si>
  <si>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</si>
  <si>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</si>
  <si>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</si>
  <si>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</si>
  <si>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</si>
  <si>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</si>
  <si>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</si>
  <si>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</si>
  <si>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</si>
  <si>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</si>
  <si>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</si>
  <si>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</si>
  <si>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</si>
  <si>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</si>
  <si>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</si>
  <si>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</si>
  <si>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</si>
  <si>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</si>
  <si>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</si>
  <si>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</si>
  <si>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</si>
  <si>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</si>
  <si>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</si>
  <si>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</si>
  <si>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</si>
  <si>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</si>
  <si>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</si>
  <si>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</si>
  <si>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</si>
  <si>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</si>
  <si>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</si>
  <si>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</si>
  <si>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</si>
  <si>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</si>
  <si>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</si>
  <si>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</si>
  <si>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</si>
  <si>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</si>
  <si>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</si>
  <si>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</si>
  <si>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</si>
  <si>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</si>
  <si>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</si>
  <si>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</si>
  <si>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</si>
  <si>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</si>
  <si>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</si>
  <si>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</si>
  <si>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</si>
  <si>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</si>
  <si>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</si>
  <si>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</si>
  <si>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</si>
  <si>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</si>
  <si>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</si>
  <si>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</si>
  <si>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</si>
  <si>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</si>
  <si>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</si>
  <si>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</si>
  <si>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</si>
  <si>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</si>
  <si>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</si>
  <si>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</si>
  <si>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</si>
  <si>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</si>
  <si>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</si>
  <si>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</si>
  <si>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</si>
  <si>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</si>
  <si>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</si>
  <si>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</si>
  <si>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</si>
  <si>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</si>
  <si>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</si>
  <si>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</si>
  <si>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</si>
  <si>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</si>
  <si>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</si>
  <si>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</si>
  <si>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</si>
  <si>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</si>
  <si>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</si>
  <si>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</si>
  <si>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</si>
  <si>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</si>
  <si>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</si>
  <si>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</si>
  <si>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</si>
  <si>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</si>
  <si>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</si>
  <si>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</si>
  <si>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</si>
  <si>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</si>
  <si>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</si>
  <si>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</si>
  <si>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</si>
  <si>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</si>
  <si>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</si>
  <si>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</si>
  <si>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</si>
  <si>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</si>
  <si>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</si>
  <si>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</si>
  <si>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</si>
  <si>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</si>
  <si>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</si>
  <si>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</si>
  <si>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</si>
  <si>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</si>
  <si>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</si>
  <si>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</si>
  <si>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</si>
  <si>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</si>
  <si>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</si>
  <si>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</si>
  <si>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</si>
  <si>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</si>
  <si>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</si>
  <si>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</si>
  <si>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</si>
  <si>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</si>
  <si>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</si>
  <si>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</si>
  <si>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</si>
  <si>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</si>
  <si>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</si>
  <si>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</si>
  <si>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</si>
  <si>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</si>
  <si>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</si>
  <si>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</si>
  <si>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</si>
  <si>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</si>
  <si>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</si>
  <si>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</si>
  <si>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</si>
  <si>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</si>
  <si>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</si>
  <si>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</si>
  <si>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</si>
  <si>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</si>
  <si>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</si>
  <si>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</si>
  <si>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</si>
  <si>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</si>
  <si>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</si>
  <si>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</si>
  <si>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</si>
  <si>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</si>
  <si>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</si>
  <si>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</si>
  <si>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</si>
  <si>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</si>
  <si>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</si>
  <si>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</si>
  <si>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</si>
  <si>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</si>
  <si>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</si>
  <si>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</si>
  <si>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</si>
  <si>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</si>
  <si>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</si>
  <si>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</si>
  <si>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</si>
  <si>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</si>
  <si>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</si>
  <si>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</si>
  <si>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</si>
  <si>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</si>
  <si>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</si>
  <si>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</si>
  <si>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</si>
  <si>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</si>
  <si>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</si>
  <si>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</si>
  <si>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</si>
  <si>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</si>
  <si>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</si>
  <si>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</si>
  <si>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</si>
  <si>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</si>
  <si>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</si>
  <si>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</si>
  <si>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</si>
  <si>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</si>
  <si>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</si>
  <si>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</si>
  <si>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</si>
  <si>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</si>
  <si>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</si>
  <si>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</si>
  <si>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</si>
  <si>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</si>
  <si>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</si>
  <si>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</si>
  <si>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</si>
  <si>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</si>
  <si>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</si>
  <si>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</si>
  <si>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</si>
  <si>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</si>
  <si>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</si>
  <si>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</si>
  <si>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</si>
  <si>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</si>
  <si>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</si>
  <si>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</si>
  <si>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</si>
  <si>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</si>
  <si>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</si>
  <si>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</si>
  <si>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</si>
  <si>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</si>
  <si>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</si>
  <si>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</si>
  <si>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</si>
  <si>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</si>
  <si>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</si>
  <si>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</si>
  <si>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</si>
  <si>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</si>
  <si>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</si>
  <si>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</si>
  <si>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</si>
  <si>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</si>
  <si>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</si>
  <si>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</si>
  <si>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</si>
  <si>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</si>
  <si>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</si>
  <si>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</si>
  <si>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</si>
  <si>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</si>
  <si>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</si>
  <si>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</si>
  <si>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</si>
  <si>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</si>
  <si>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</si>
  <si>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</si>
  <si>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</si>
  <si>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</si>
  <si>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</si>
  <si>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</si>
  <si>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</si>
  <si>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</si>
  <si>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</si>
  <si>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</si>
  <si>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</si>
  <si>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</si>
  <si>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</si>
  <si>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</si>
  <si>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</si>
  <si>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</si>
  <si>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</si>
  <si>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</si>
  <si>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</si>
  <si>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</si>
  <si>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</si>
  <si>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</si>
  <si>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</si>
  <si>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</si>
  <si>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</si>
  <si>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</si>
  <si>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</si>
  <si>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</si>
  <si>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</si>
  <si>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</si>
  <si>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</si>
  <si>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</si>
  <si>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</si>
  <si>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</si>
  <si>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</si>
  <si>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</si>
  <si>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</si>
  <si>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</si>
  <si>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</si>
  <si>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</si>
  <si>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</si>
  <si>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</si>
  <si>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</si>
  <si>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</si>
  <si>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</si>
  <si>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</si>
  <si>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</si>
  <si>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</si>
  <si>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</si>
  <si>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</si>
  <si>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</si>
  <si>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</si>
  <si>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</si>
  <si>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</si>
  <si>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</si>
  <si>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</si>
  <si>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</si>
  <si>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</si>
  <si>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</si>
  <si>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</si>
  <si>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</si>
  <si>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</si>
  <si>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</si>
  <si>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</si>
  <si>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</si>
  <si>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</si>
  <si>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</si>
  <si>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</si>
  <si>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</si>
  <si>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</si>
  <si>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</si>
  <si>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</si>
  <si>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</si>
  <si>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</si>
  <si>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</si>
  <si>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</si>
  <si>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</si>
  <si>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</si>
  <si>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</si>
  <si>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</si>
  <si>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</si>
  <si>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</si>
  <si>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</si>
  <si>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</si>
  <si>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</si>
  <si>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</si>
  <si>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</si>
  <si>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</si>
  <si>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</si>
  <si>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</si>
  <si>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</si>
  <si>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</si>
  <si>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</si>
  <si>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</si>
  <si>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</si>
  <si>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</si>
  <si>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</si>
  <si>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</si>
  <si>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</si>
  <si>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</si>
  <si>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</si>
  <si>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</si>
  <si>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</si>
  <si>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</si>
  <si>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</si>
  <si>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</si>
  <si>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</si>
  <si>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</si>
  <si>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</si>
  <si>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</si>
  <si>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</si>
  <si>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</si>
  <si>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</si>
  <si>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</si>
  <si>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</si>
  <si>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</si>
  <si>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</si>
  <si>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</si>
  <si>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</si>
  <si>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</si>
  <si>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</si>
  <si>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</si>
  <si>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</si>
  <si>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</si>
  <si>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</si>
  <si>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</si>
  <si>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</si>
  <si>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</si>
  <si>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</si>
  <si>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</si>
  <si>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</si>
  <si>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</si>
  <si>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</si>
  <si>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</si>
  <si>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</si>
  <si>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</si>
  <si>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</si>
  <si>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</si>
  <si>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</si>
  <si>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</si>
  <si>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</si>
  <si>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</si>
  <si>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</si>
  <si>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</si>
  <si>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</si>
  <si>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</si>
  <si>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</si>
  <si>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</si>
  <si>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</si>
  <si>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</si>
  <si>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</si>
  <si>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</si>
  <si>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</si>
  <si>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</si>
  <si>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</si>
  <si>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</si>
  <si>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</si>
  <si>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</si>
  <si>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</si>
  <si>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</si>
  <si>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</si>
  <si>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</si>
  <si>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</si>
  <si>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</si>
  <si>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</si>
  <si>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</si>
  <si>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</si>
  <si>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</si>
  <si>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</si>
  <si>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</si>
  <si>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</si>
  <si>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</si>
  <si>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</si>
  <si>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</si>
  <si>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</si>
  <si>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</si>
  <si>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</si>
  <si>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</si>
  <si>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</si>
  <si>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</si>
  <si>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</si>
  <si>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</si>
  <si>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</si>
  <si>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</si>
  <si>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</si>
  <si>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</si>
  <si>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</si>
  <si>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</si>
  <si>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</si>
  <si>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</si>
  <si>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</si>
  <si>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</si>
  <si>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</si>
  <si>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</si>
  <si>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</si>
  <si>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</si>
  <si>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</si>
  <si>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</si>
  <si>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</si>
  <si>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</si>
  <si>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</si>
  <si>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</si>
  <si>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</si>
  <si>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</si>
  <si>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</si>
  <si>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</si>
  <si>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</si>
  <si>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</si>
  <si>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</si>
  <si>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</si>
  <si>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</si>
  <si>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</si>
  <si>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</si>
  <si>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</si>
  <si>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</si>
  <si>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</si>
  <si>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</si>
  <si>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</si>
  <si>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</si>
  <si>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</si>
  <si>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</si>
  <si>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</si>
  <si>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</si>
  <si>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</si>
  <si>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</si>
  <si>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</si>
  <si>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</si>
  <si>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</si>
  <si>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</si>
  <si>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</si>
  <si>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</si>
  <si>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</si>
  <si>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</si>
  <si>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</si>
  <si>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</si>
  <si>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</si>
  <si>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</si>
  <si>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</si>
  <si>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</si>
  <si>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</si>
  <si>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</si>
  <si>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</si>
  <si>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</si>
  <si>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</si>
  <si>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</si>
  <si>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</si>
  <si>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</si>
  <si>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</si>
  <si>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</si>
  <si>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</si>
  <si>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</si>
  <si>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</si>
  <si>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</si>
  <si>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</si>
  <si>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</si>
  <si>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</si>
  <si>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</si>
  <si>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</si>
  <si>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</si>
  <si>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</si>
  <si>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</si>
  <si>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</si>
  <si>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</si>
  <si>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</si>
  <si>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</si>
  <si>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</si>
  <si>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</si>
  <si>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</si>
  <si>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</si>
  <si>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</si>
  <si>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</si>
  <si>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</si>
  <si>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</si>
  <si>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</si>
  <si>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</si>
  <si>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</si>
  <si>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</si>
  <si>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</si>
  <si>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</si>
  <si>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</si>
  <si>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</si>
  <si>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</si>
  <si>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</si>
  <si>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</si>
  <si>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</si>
  <si>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</si>
  <si>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</si>
  <si>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</si>
  <si>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</si>
  <si>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</si>
  <si>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</si>
  <si>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</si>
  <si>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</si>
  <si>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</si>
  <si>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</si>
  <si>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</si>
  <si>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</si>
  <si>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</si>
  <si>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</si>
  <si>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</si>
  <si>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</si>
  <si>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</si>
  <si>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</si>
  <si>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</si>
  <si>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</si>
  <si>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</si>
  <si>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</si>
  <si>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</si>
  <si>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</si>
  <si>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</si>
  <si>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</si>
  <si>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</si>
  <si>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</si>
  <si>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</si>
  <si>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</si>
  <si>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</si>
  <si>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</si>
  <si>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</si>
  <si>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</si>
  <si>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</si>
  <si>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</si>
  <si>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</si>
  <si>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</si>
  <si>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</si>
  <si>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</si>
  <si>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</si>
  <si>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</si>
  <si>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</si>
  <si>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</si>
  <si>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</si>
  <si>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</si>
  <si>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</si>
  <si>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</si>
  <si>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</si>
  <si>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</si>
  <si>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</si>
  <si>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</si>
  <si>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</si>
  <si>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</si>
  <si>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</si>
  <si>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</si>
  <si>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</si>
  <si>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</si>
  <si>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</si>
  <si>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</si>
  <si>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</si>
  <si>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</si>
  <si>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</si>
  <si>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</si>
  <si>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</si>
  <si>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</si>
  <si>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</si>
  <si>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</si>
  <si>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</si>
  <si>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</si>
  <si>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</si>
  <si>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</si>
  <si>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</si>
  <si>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</si>
  <si>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</si>
  <si>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</si>
  <si>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</si>
  <si>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</si>
  <si>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</si>
  <si>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</si>
  <si>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</si>
  <si>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</si>
  <si>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</si>
  <si>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</si>
  <si>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</si>
  <si>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</si>
  <si>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</si>
  <si>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</si>
  <si>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</si>
  <si>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</si>
  <si>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</si>
  <si>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</si>
  <si>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</si>
  <si>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</si>
  <si>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</si>
  <si>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</si>
  <si>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</si>
  <si>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</si>
  <si>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</si>
  <si>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</si>
  <si>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</si>
  <si>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</si>
  <si>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</si>
  <si>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</si>
  <si>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</si>
  <si>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</si>
  <si>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</si>
  <si>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</si>
  <si>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</si>
  <si>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</si>
  <si>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</si>
  <si>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</si>
  <si>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</si>
  <si>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</si>
  <si>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</si>
  <si>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</si>
  <si>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</si>
  <si>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</si>
  <si>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</si>
  <si>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</si>
  <si>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</si>
  <si>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</si>
  <si>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</si>
  <si>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</si>
  <si>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</si>
  <si>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</si>
  <si>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</si>
  <si>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</si>
  <si>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</si>
  <si>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</si>
  <si>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</si>
  <si>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</si>
  <si>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</si>
  <si>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</si>
  <si>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</si>
  <si>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</si>
  <si>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</si>
  <si>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</si>
  <si>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</si>
  <si>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</si>
  <si>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</si>
  <si>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</si>
  <si>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</si>
  <si>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</si>
  <si>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</si>
  <si>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</si>
  <si>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</si>
  <si>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</si>
  <si>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</si>
  <si>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</si>
  <si>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</si>
  <si>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</si>
  <si>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</si>
  <si>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</si>
  <si>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</si>
  <si>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</si>
  <si>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</si>
  <si>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</si>
  <si>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</si>
  <si>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</si>
  <si>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</si>
  <si>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</si>
  <si>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</si>
  <si>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</si>
  <si>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</si>
  <si>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</si>
  <si>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</si>
  <si>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</si>
  <si>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</si>
  <si>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</si>
  <si>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</si>
  <si>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</si>
  <si>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</si>
  <si>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</si>
  <si>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</si>
  <si>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</si>
  <si>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</si>
  <si>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</si>
  <si>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</si>
  <si>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</si>
  <si>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</si>
  <si>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</si>
  <si>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</si>
  <si>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</si>
  <si>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</si>
  <si>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</si>
  <si>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</si>
  <si>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</si>
  <si>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</si>
  <si>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</si>
  <si>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</si>
  <si>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</si>
  <si>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</si>
  <si>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</si>
  <si>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</si>
  <si>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</si>
  <si>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</si>
  <si>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</si>
  <si>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</si>
  <si>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</si>
  <si>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</si>
  <si>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</si>
  <si>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</si>
  <si>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</si>
  <si>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</si>
  <si>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</si>
  <si>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</si>
  <si>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</si>
  <si>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</si>
  <si>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</si>
  <si>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</si>
  <si>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</si>
  <si>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</si>
  <si>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</si>
  <si>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</si>
  <si>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</si>
  <si>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</si>
  <si>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</si>
  <si>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</si>
  <si>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</si>
  <si>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</si>
  <si>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</si>
  <si>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</si>
  <si>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</si>
  <si>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</si>
  <si>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</si>
  <si>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</si>
  <si>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</si>
  <si>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</si>
  <si>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</si>
  <si>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</si>
  <si>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</si>
  <si>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</si>
  <si>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</si>
  <si>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</si>
  <si>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</si>
  <si>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</si>
  <si>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</si>
  <si>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</si>
  <si>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</si>
  <si>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</si>
  <si>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</si>
  <si>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</si>
  <si>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</si>
  <si>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</si>
  <si>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</si>
  <si>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</si>
  <si>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</si>
  <si>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</si>
  <si>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</si>
  <si>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</si>
  <si>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</si>
  <si>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</si>
  <si>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</si>
  <si>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</si>
  <si>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</si>
  <si>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</si>
  <si>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</si>
  <si>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</si>
  <si>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</si>
  <si>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</si>
  <si>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</si>
  <si>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</si>
  <si>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</si>
  <si>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</si>
  <si>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</si>
  <si>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</si>
  <si>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</si>
  <si>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</si>
  <si>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</si>
  <si>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</si>
  <si>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</si>
  <si>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</si>
  <si>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</si>
  <si>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</si>
  <si>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</si>
  <si>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</si>
  <si>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</si>
  <si>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</si>
  <si>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</si>
  <si>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</si>
  <si>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</si>
  <si>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</si>
  <si>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</si>
  <si>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</si>
  <si>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</si>
  <si>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</si>
  <si>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</si>
  <si>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</si>
  <si>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</si>
  <si>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</si>
  <si>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</si>
  <si>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</si>
  <si>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</si>
  <si>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</si>
  <si>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</si>
  <si>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</si>
  <si>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</si>
  <si>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</si>
  <si>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</si>
  <si>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</si>
  <si>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</si>
  <si>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</si>
  <si>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</si>
  <si>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</si>
  <si>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</si>
  <si>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</si>
  <si>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</si>
  <si>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</si>
  <si>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</si>
  <si>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</si>
  <si>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</si>
  <si>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</si>
  <si>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</si>
  <si>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</si>
  <si>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</si>
  <si>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</si>
  <si>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</si>
  <si>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</si>
  <si>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</si>
  <si>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</si>
  <si>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</si>
  <si>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</si>
  <si>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</si>
  <si>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</si>
  <si>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</si>
  <si>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</si>
  <si>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</si>
  <si>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</si>
  <si>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</si>
  <si>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</si>
  <si>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</si>
  <si>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</si>
  <si>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</si>
  <si>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</si>
  <si>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</si>
  <si>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</si>
  <si>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</si>
  <si>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</si>
  <si>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</si>
  <si>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</si>
  <si>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</si>
  <si>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</si>
  <si>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</si>
  <si>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</si>
  <si>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</si>
  <si>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</si>
  <si>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</si>
  <si>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</si>
  <si>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</si>
  <si>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</si>
  <si>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</si>
  <si>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</si>
  <si>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</si>
  <si>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</si>
  <si>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</si>
  <si>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</si>
  <si>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</si>
  <si>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</si>
  <si>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</si>
  <si>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</si>
  <si>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</si>
  <si>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</si>
  <si>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</si>
  <si>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</si>
  <si>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</si>
  <si>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</si>
  <si>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</si>
  <si>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</si>
  <si>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</si>
  <si>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</si>
  <si>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</si>
  <si>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</si>
  <si>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</si>
  <si>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</si>
  <si>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</si>
  <si>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</si>
  <si>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</si>
  <si>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</si>
  <si>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</si>
  <si>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</si>
  <si>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</si>
  <si>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</si>
  <si>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</si>
  <si>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</si>
  <si>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</si>
  <si>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</si>
  <si>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</si>
  <si>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</si>
  <si>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</si>
  <si>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</si>
  <si>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</si>
  <si>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</si>
  <si>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</si>
  <si>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</si>
  <si>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</si>
  <si>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</si>
  <si>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</si>
  <si>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</si>
  <si>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</si>
  <si>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</si>
  <si>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</si>
  <si>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</si>
  <si>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</si>
  <si>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</si>
  <si>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</si>
  <si>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</si>
  <si>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</si>
  <si>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</si>
  <si>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</si>
  <si>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</si>
  <si>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</si>
  <si>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</si>
  <si>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</si>
  <si>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</si>
  <si>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</si>
  <si>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</si>
  <si>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</si>
  <si>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</si>
  <si>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</si>
  <si>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</si>
  <si>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</si>
  <si>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</si>
  <si>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</si>
  <si>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</si>
  <si>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</si>
  <si>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</si>
  <si>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</si>
  <si>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</si>
  <si>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</si>
  <si>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</si>
  <si>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</si>
  <si>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</si>
  <si>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</si>
  <si>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</si>
  <si>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</si>
  <si>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</si>
  <si>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</si>
  <si>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</si>
  <si>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</si>
  <si>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</si>
  <si>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</si>
  <si>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</si>
  <si>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</si>
  <si>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</si>
  <si>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</si>
  <si>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</si>
  <si>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</si>
  <si>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</si>
  <si>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</si>
  <si>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</si>
  <si>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</si>
  <si>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</si>
  <si>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</si>
  <si>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</si>
  <si>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</si>
  <si>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</si>
  <si>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</si>
  <si>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</si>
  <si>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</si>
  <si>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</si>
  <si>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</si>
  <si>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</si>
  <si>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</si>
  <si>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</si>
  <si>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</si>
  <si>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</si>
  <si>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</si>
  <si>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</si>
  <si>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</si>
  <si>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</si>
  <si>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</si>
  <si>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</si>
  <si>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</si>
  <si>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</si>
  <si>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</si>
  <si>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</si>
  <si>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</si>
  <si>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</si>
  <si>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</si>
  <si>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</si>
  <si>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</si>
  <si>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</si>
  <si>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</si>
  <si>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</si>
  <si>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</si>
  <si>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</si>
  <si>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</si>
  <si>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</si>
  <si>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</si>
  <si>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</si>
  <si>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</si>
  <si>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</si>
  <si>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</si>
  <si>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</si>
  <si>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</si>
  <si>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</si>
  <si>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</si>
  <si>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</si>
  <si>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</si>
  <si>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</si>
  <si>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</si>
  <si>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</si>
  <si>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</si>
  <si>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</si>
  <si>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</si>
  <si>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</si>
  <si>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</si>
  <si>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</si>
  <si>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</si>
  <si>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</si>
  <si>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</si>
  <si>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</si>
  <si>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</si>
  <si>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</si>
  <si>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</si>
  <si>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</si>
  <si>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</si>
  <si>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</si>
  <si>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</si>
  <si>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</si>
  <si>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</si>
  <si>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</si>
  <si>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</si>
  <si>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</si>
  <si>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</si>
  <si>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</si>
  <si>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</si>
  <si>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</si>
  <si>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</si>
  <si>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</si>
  <si>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</si>
  <si>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</si>
  <si>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</si>
  <si>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</si>
  <si>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</si>
  <si>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</si>
  <si>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</si>
  <si>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</si>
  <si>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</si>
  <si>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</si>
  <si>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</si>
  <si>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</si>
  <si>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</si>
  <si>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</si>
  <si>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</si>
  <si>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</si>
  <si>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</si>
  <si>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</si>
  <si>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</si>
  <si>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</si>
  <si>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</si>
  <si>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</si>
  <si>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</si>
  <si>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</si>
  <si>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</si>
  <si>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</si>
  <si>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</si>
  <si>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</si>
  <si>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</si>
  <si>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</si>
  <si>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</si>
  <si>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</si>
  <si>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</si>
  <si>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</si>
  <si>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</si>
  <si>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</si>
  <si>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</si>
  <si>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</si>
  <si>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</si>
  <si>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</si>
  <si>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</si>
  <si>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</si>
  <si>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</si>
  <si>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</si>
  <si>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</si>
  <si>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</si>
  <si>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</si>
  <si>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</si>
  <si>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</si>
  <si>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</si>
  <si>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</si>
  <si>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</si>
  <si>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</si>
  <si>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</si>
  <si>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</si>
  <si>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</si>
  <si>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</si>
  <si>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</si>
  <si>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</si>
  <si>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</si>
  <si>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</si>
  <si>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</si>
  <si>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</si>
  <si>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</si>
  <si>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</si>
  <si>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</si>
  <si>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</si>
  <si>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</si>
  <si>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</si>
  <si>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</si>
  <si>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</si>
  <si>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</si>
  <si>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</si>
  <si>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</si>
  <si>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</si>
  <si>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</si>
  <si>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</si>
  <si>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</si>
  <si>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</si>
  <si>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</si>
  <si>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</si>
  <si>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</si>
  <si>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</si>
  <si>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</si>
  <si>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</si>
  <si>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</si>
  <si>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</si>
  <si>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</si>
  <si>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</si>
  <si>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</si>
  <si>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</si>
  <si>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</si>
  <si>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</si>
  <si>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</si>
  <si>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</si>
  <si>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</si>
  <si>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</si>
  <si>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</si>
  <si>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</si>
  <si>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</si>
  <si>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</si>
  <si>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</si>
  <si>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</si>
  <si>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</si>
  <si>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</si>
  <si>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</si>
  <si>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</si>
  <si>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</si>
  <si>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</si>
  <si>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</si>
  <si>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</si>
  <si>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</si>
  <si>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</si>
  <si>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</si>
  <si>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</si>
  <si>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</si>
  <si>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</si>
  <si>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</si>
  <si>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</si>
  <si>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</si>
  <si>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</si>
  <si>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</si>
  <si>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</si>
  <si>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</si>
  <si>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</si>
  <si>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</si>
  <si>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</si>
  <si>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</si>
  <si>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</si>
  <si>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</si>
  <si>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</si>
  <si>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</si>
  <si>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</si>
  <si>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</si>
  <si>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</si>
  <si>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</si>
  <si>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</si>
  <si>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</si>
  <si>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</si>
  <si>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</si>
  <si>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</si>
  <si>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</si>
  <si>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</si>
  <si>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</si>
  <si>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</si>
  <si>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</si>
  <si>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</si>
  <si>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</si>
  <si>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</si>
  <si>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</si>
  <si>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</si>
  <si>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</si>
  <si>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</si>
  <si>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</si>
  <si>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</si>
  <si>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</si>
  <si>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</si>
  <si>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</si>
  <si>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</si>
  <si>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</si>
  <si>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</si>
  <si>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</si>
  <si>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</si>
  <si>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</si>
  <si>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</si>
  <si>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</si>
  <si>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</si>
  <si>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</si>
  <si>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</si>
  <si>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</si>
  <si>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</si>
  <si>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</si>
  <si>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</si>
  <si>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</si>
  <si>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</si>
  <si>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</si>
  <si>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</si>
  <si>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</si>
  <si>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</si>
  <si>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</si>
  <si>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</si>
  <si>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</si>
  <si>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</si>
  <si>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</si>
  <si>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</si>
  <si>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</si>
  <si>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</si>
  <si>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</si>
  <si>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</si>
  <si>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</si>
  <si>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</si>
  <si>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</si>
  <si>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</si>
  <si>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</si>
  <si>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</si>
  <si>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</si>
  <si>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</si>
  <si>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</si>
  <si>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</si>
  <si>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</si>
  <si>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</si>
  <si>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</si>
  <si>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</si>
  <si>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</si>
  <si>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</si>
  <si>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</si>
  <si>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</si>
  <si>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</si>
  <si>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</si>
  <si>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</si>
  <si>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</si>
  <si>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</si>
  <si>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</si>
  <si>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</si>
  <si>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</si>
  <si>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</si>
  <si>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</si>
  <si>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</si>
  <si>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</si>
  <si>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</si>
  <si>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</si>
  <si>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</si>
  <si>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</si>
  <si>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</si>
  <si>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</si>
  <si>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</si>
  <si>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</si>
  <si>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</si>
  <si>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</si>
  <si>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</si>
  <si>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</si>
  <si>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</si>
  <si>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</si>
  <si>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</si>
  <si>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</si>
  <si>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</si>
  <si>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</si>
  <si>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</si>
  <si>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</si>
  <si>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</si>
  <si>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</si>
  <si>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</si>
  <si>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</si>
  <si>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</si>
  <si>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</si>
  <si>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</si>
  <si>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</si>
  <si>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</si>
  <si>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</si>
  <si>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</si>
  <si>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</si>
  <si>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</si>
  <si>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</si>
  <si>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</si>
  <si>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</si>
  <si>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</si>
  <si>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</si>
  <si>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</si>
  <si>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</si>
  <si>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</si>
  <si>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</si>
  <si>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</si>
  <si>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</si>
  <si>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</si>
  <si>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</si>
  <si>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</si>
  <si>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</si>
  <si>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</si>
  <si>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</si>
  <si>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</si>
  <si>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</si>
  <si>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</si>
  <si>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</si>
  <si>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</si>
  <si>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</si>
  <si>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</si>
  <si>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</si>
  <si>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</si>
  <si>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</si>
  <si>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</si>
  <si>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</si>
  <si>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</si>
  <si>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</si>
  <si>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</si>
  <si>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</si>
  <si>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</si>
  <si>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</si>
  <si>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</si>
  <si>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</si>
  <si>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</si>
  <si>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</si>
  <si>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</si>
  <si>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</si>
  <si>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</si>
  <si>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</si>
  <si>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</si>
  <si>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</si>
  <si>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</si>
  <si>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</si>
  <si>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</si>
  <si>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</si>
  <si>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</si>
  <si>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</si>
  <si>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</si>
  <si>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</si>
  <si>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</si>
  <si>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</si>
  <si>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</si>
  <si>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</si>
  <si>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</si>
  <si>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</si>
  <si>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</si>
  <si>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</si>
  <si>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</si>
  <si>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</si>
  <si>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</si>
  <si>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</si>
  <si>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</si>
  <si>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</si>
  <si>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</si>
  <si>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</si>
  <si>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</si>
  <si>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</si>
  <si>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</si>
  <si>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</si>
  <si>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</si>
  <si>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</si>
  <si>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</si>
  <si>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</si>
  <si>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</si>
  <si>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</si>
  <si>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</si>
  <si>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</si>
  <si>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</si>
  <si>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</si>
  <si>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</si>
  <si>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</si>
  <si>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</si>
  <si>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</si>
  <si>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</si>
  <si>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</si>
  <si>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</si>
  <si>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</si>
  <si>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</si>
  <si>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</si>
  <si>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</si>
  <si>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</si>
  <si>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</si>
  <si>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</si>
  <si>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</si>
  <si>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</si>
  <si>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</si>
  <si>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</si>
  <si>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</si>
  <si>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</si>
  <si>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</si>
  <si>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</si>
  <si>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</si>
  <si>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</si>
  <si>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</si>
  <si>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</si>
  <si>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</si>
  <si>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</si>
  <si>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</si>
  <si>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</si>
  <si>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</si>
  <si>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</si>
  <si>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</si>
  <si>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</si>
  <si>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</si>
  <si>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</si>
  <si>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</si>
  <si>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</si>
  <si>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</si>
  <si>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</si>
  <si>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</si>
  <si>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</si>
  <si>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</si>
  <si>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</si>
  <si>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</si>
  <si>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</si>
  <si>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</si>
  <si>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</si>
  <si>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</si>
  <si>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</si>
  <si>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</si>
  <si>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</si>
  <si>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</si>
  <si>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</si>
  <si>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</si>
  <si>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</si>
  <si>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</si>
  <si>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</si>
  <si>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</si>
  <si>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</si>
  <si>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</si>
  <si>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</si>
  <si>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</si>
  <si>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</si>
  <si>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</si>
  <si>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</si>
  <si>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</si>
  <si>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</si>
  <si>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</si>
  <si>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</si>
  <si>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</si>
  <si>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</si>
  <si>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</si>
  <si>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</si>
  <si>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</si>
  <si>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</si>
  <si>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</si>
  <si>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</si>
  <si>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</si>
  <si>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</si>
  <si>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</si>
  <si>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</si>
  <si>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</si>
  <si>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</si>
  <si>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</si>
  <si>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</si>
  <si>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</si>
  <si>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</si>
  <si>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</si>
  <si>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</si>
  <si>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</si>
  <si>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</si>
  <si>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</si>
  <si>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</si>
  <si>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</si>
  <si>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</si>
  <si>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</si>
  <si>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</si>
  <si>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</si>
  <si>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</si>
  <si>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</si>
  <si>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</si>
  <si>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</si>
  <si>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</si>
  <si>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</si>
  <si>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</si>
  <si>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</si>
  <si>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</si>
  <si>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</si>
  <si>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</si>
  <si>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</si>
  <si>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</si>
  <si>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</si>
  <si>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</si>
  <si>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</si>
  <si>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</si>
  <si>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</si>
  <si>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</si>
  <si>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</si>
  <si>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</si>
  <si>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</si>
  <si>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</si>
  <si>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</si>
  <si>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</si>
  <si>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</si>
  <si>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</si>
  <si>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</si>
  <si>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</si>
  <si>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</si>
  <si>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</si>
  <si>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</si>
  <si>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</si>
  <si>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</si>
  <si>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</si>
  <si>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</si>
  <si>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</si>
  <si>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</si>
  <si>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</si>
  <si>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</si>
  <si>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</si>
  <si>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</si>
  <si>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</si>
  <si>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</si>
  <si>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</si>
  <si>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</si>
  <si>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</si>
  <si>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</si>
  <si>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</si>
  <si>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</si>
  <si>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</si>
  <si>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</si>
  <si>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</si>
  <si>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</si>
  <si>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</si>
  <si>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</si>
  <si>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</si>
  <si>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</si>
  <si>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</si>
  <si>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</si>
  <si>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</si>
  <si>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</si>
  <si>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</si>
  <si>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</si>
  <si>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</si>
  <si>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</si>
  <si>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</si>
  <si>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</si>
  <si>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</si>
  <si>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</si>
  <si>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</si>
  <si>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</si>
  <si>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</si>
  <si>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</si>
  <si>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</si>
  <si>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</si>
  <si>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</si>
  <si>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</si>
  <si>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</si>
  <si>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</si>
  <si>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</si>
  <si>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</si>
  <si>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</si>
  <si>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</si>
  <si>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</si>
  <si>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</si>
  <si>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</si>
  <si>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</si>
  <si>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</si>
  <si>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</si>
  <si>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</si>
  <si>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</si>
  <si>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</si>
  <si>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</si>
  <si>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</si>
  <si>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</si>
  <si>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</si>
  <si>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</si>
  <si>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</si>
  <si>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</si>
  <si>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</si>
  <si>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</si>
  <si>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</si>
  <si>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</si>
  <si>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</si>
  <si>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</si>
  <si>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</si>
  <si>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</si>
  <si>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</si>
  <si>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</si>
  <si>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</si>
  <si>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</si>
  <si>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</si>
  <si>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</si>
  <si>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</si>
  <si>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</si>
  <si>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</si>
  <si>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</si>
  <si>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</si>
  <si>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</si>
  <si>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</si>
  <si>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</si>
  <si>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</si>
  <si>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</si>
  <si>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</si>
  <si>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</si>
  <si>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</si>
  <si>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</si>
  <si>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</si>
  <si>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</si>
  <si>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</si>
  <si>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</si>
  <si>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</si>
  <si>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</si>
  <si>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</si>
  <si>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</si>
  <si>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</si>
  <si>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</si>
  <si>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</si>
  <si>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</si>
  <si>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</si>
  <si>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</si>
  <si>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</si>
  <si>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</si>
  <si>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</si>
  <si>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</si>
  <si>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</si>
  <si>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</si>
  <si>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</si>
  <si>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</si>
  <si>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</si>
  <si>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</si>
  <si>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</si>
  <si>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</si>
  <si>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</si>
  <si>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</si>
  <si>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</si>
  <si>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</si>
  <si>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</si>
  <si>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</si>
  <si>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</si>
  <si>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</si>
  <si>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</si>
  <si>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</si>
  <si>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</si>
  <si>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</si>
  <si>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</si>
  <si>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</si>
  <si>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</si>
  <si>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</si>
  <si>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</si>
  <si>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</si>
  <si>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</si>
  <si>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</si>
  <si>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</si>
  <si>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</si>
  <si>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</si>
  <si>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</si>
  <si>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</si>
  <si>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</si>
  <si>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</si>
  <si>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</si>
  <si>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</si>
  <si>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</si>
  <si>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</si>
  <si>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</si>
  <si>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</si>
  <si>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</si>
  <si>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</si>
  <si>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</si>
  <si>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</si>
  <si>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</si>
  <si>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</si>
  <si>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</si>
  <si>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</si>
  <si>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</si>
  <si>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</si>
  <si>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</si>
  <si>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</si>
  <si>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</si>
  <si>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</si>
  <si>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</si>
  <si>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</si>
  <si>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</si>
  <si>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</si>
  <si>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</si>
  <si>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</si>
  <si>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</si>
  <si>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</si>
  <si>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</si>
  <si>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</si>
  <si>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</si>
  <si>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</si>
  <si>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</si>
  <si>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</si>
  <si>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</si>
  <si>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</si>
  <si>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</si>
  <si>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</si>
  <si>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</si>
  <si>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</si>
  <si>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</si>
  <si>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</si>
  <si>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</si>
  <si>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</si>
  <si>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</si>
  <si>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</si>
  <si>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</si>
  <si>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</si>
  <si>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</si>
  <si>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</si>
  <si>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</si>
  <si>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</si>
  <si>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</si>
  <si>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</si>
  <si>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</si>
  <si>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</si>
  <si>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</si>
  <si>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</si>
  <si>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</si>
  <si>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</si>
  <si>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</si>
  <si>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</si>
  <si>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</si>
  <si>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</si>
  <si>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</si>
  <si>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</si>
  <si>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</si>
  <si>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</si>
  <si>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</si>
  <si>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</si>
  <si>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</si>
  <si>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</si>
  <si>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</si>
  <si>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</si>
  <si>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</si>
  <si>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</si>
  <si>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</si>
  <si>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</si>
  <si>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</si>
  <si>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</si>
  <si>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</si>
  <si>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</si>
  <si>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</si>
  <si>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</si>
  <si>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</si>
  <si>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</si>
  <si>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</si>
  <si>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</si>
  <si>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</si>
  <si>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</si>
  <si>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</si>
  <si>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</si>
  <si>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</si>
  <si>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</si>
  <si>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</si>
  <si>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</si>
  <si>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</si>
  <si>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</si>
  <si>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</si>
  <si>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</si>
  <si>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</si>
  <si>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</si>
  <si>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</si>
  <si>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</si>
  <si>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</si>
  <si>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</si>
  <si>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</si>
  <si>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</si>
  <si>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</si>
  <si>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</si>
  <si>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</si>
  <si>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</si>
  <si>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</si>
  <si>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</si>
  <si>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</si>
  <si>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</si>
  <si>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</si>
  <si>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</si>
  <si>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</si>
  <si>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</si>
  <si>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</si>
  <si>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</si>
  <si>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</si>
  <si>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</si>
  <si>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</si>
  <si>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</si>
  <si>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</si>
  <si>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</si>
  <si>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</si>
  <si>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</si>
  <si>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</si>
  <si>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</si>
  <si>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</si>
  <si>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</si>
  <si>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</si>
  <si>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</si>
  <si>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</si>
  <si>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</si>
  <si>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</si>
  <si>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</si>
  <si>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</si>
  <si>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</si>
  <si>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</si>
  <si>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</si>
  <si>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</si>
  <si>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</si>
  <si>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</si>
  <si>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</si>
  <si>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</si>
  <si>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</si>
  <si>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</si>
  <si>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</si>
  <si>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</si>
  <si>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</si>
  <si>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</si>
  <si>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</si>
  <si>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</si>
  <si>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</si>
  <si>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</si>
  <si>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</si>
  <si>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</si>
  <si>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</si>
  <si>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</si>
  <si>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</si>
  <si>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</si>
  <si>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</si>
  <si>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</si>
  <si>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</si>
  <si>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</si>
  <si>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</si>
  <si>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</si>
  <si>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</si>
  <si>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</si>
  <si>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</si>
  <si>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</si>
  <si>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</si>
  <si>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</si>
  <si>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</si>
  <si>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</si>
  <si>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</si>
  <si>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</si>
  <si>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</si>
  <si>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</si>
  <si>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</si>
  <si>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</si>
  <si>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</si>
  <si>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</si>
  <si>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</si>
  <si>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</si>
  <si>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</si>
  <si>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</si>
  <si>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</si>
  <si>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</si>
  <si>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</si>
  <si>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</si>
  <si>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</si>
  <si>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</si>
  <si>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</si>
  <si>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</si>
  <si>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</si>
  <si>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</si>
  <si>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</si>
  <si>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</si>
  <si>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</si>
  <si>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</si>
  <si>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</si>
  <si>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</si>
  <si>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</si>
  <si>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</si>
  <si>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</si>
  <si>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</si>
  <si>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</si>
  <si>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</si>
  <si>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</si>
  <si>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</si>
  <si>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</si>
  <si>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</si>
  <si>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</si>
  <si>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</si>
  <si>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</si>
  <si>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</si>
  <si>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</si>
  <si>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</si>
  <si>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</si>
  <si>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</si>
  <si>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</si>
  <si>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</si>
  <si>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</si>
  <si>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</si>
  <si>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</si>
  <si>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</si>
  <si>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</si>
  <si>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</si>
  <si>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</si>
  <si>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</si>
  <si>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</si>
  <si>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</si>
  <si>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</si>
  <si>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</si>
  <si>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</si>
  <si>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</si>
  <si>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</si>
  <si>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</si>
  <si>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</si>
  <si>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</si>
  <si>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</si>
  <si>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</si>
  <si>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</si>
  <si>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</si>
  <si>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</si>
  <si>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</si>
  <si>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</si>
  <si>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</si>
  <si>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</si>
  <si>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</si>
  <si>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</si>
  <si>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</si>
  <si>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</si>
  <si>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</si>
  <si>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</si>
  <si>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</si>
  <si>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</si>
  <si>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</si>
  <si>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</si>
  <si>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</si>
  <si>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</si>
  <si>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</si>
  <si>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</si>
  <si>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</si>
  <si>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</si>
  <si>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</si>
  <si>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</si>
  <si>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</si>
  <si>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</si>
  <si>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</si>
  <si>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</si>
  <si>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</si>
  <si>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</si>
  <si>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</si>
  <si>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</si>
  <si>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</si>
  <si>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</si>
  <si>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</si>
  <si>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</si>
  <si>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</si>
  <si>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</si>
  <si>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</si>
  <si>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</si>
  <si>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</si>
  <si>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</si>
  <si>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</si>
  <si>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</si>
  <si>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</si>
  <si>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</si>
  <si>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</si>
  <si>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</si>
  <si>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</si>
  <si>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</si>
  <si>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</si>
  <si>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</si>
  <si>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</si>
  <si>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</si>
  <si>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</si>
  <si>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</si>
  <si>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</si>
  <si>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</si>
  <si>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</si>
  <si>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</si>
  <si>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</si>
  <si>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</si>
  <si>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</si>
  <si>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</si>
  <si>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</si>
  <si>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</si>
  <si>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</si>
  <si>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</si>
  <si>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</si>
  <si>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</si>
  <si>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</si>
  <si>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</si>
  <si>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</si>
  <si>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</si>
  <si>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</si>
  <si>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</si>
  <si>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</si>
  <si>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</si>
  <si>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</si>
  <si>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</si>
  <si>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</si>
  <si>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</si>
  <si>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</si>
  <si>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</si>
  <si>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</si>
  <si>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</si>
  <si>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</si>
  <si>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</si>
  <si>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</si>
  <si>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</si>
  <si>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</si>
  <si>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</si>
  <si>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</si>
  <si>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</si>
  <si>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</si>
  <si>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</si>
  <si>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</si>
  <si>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</si>
  <si>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</si>
  <si>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</si>
  <si>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</si>
  <si>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</si>
  <si>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</si>
  <si>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</si>
  <si>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</si>
  <si>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</si>
  <si>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</si>
  <si>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</si>
  <si>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</si>
  <si>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</si>
  <si>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</si>
  <si>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</si>
  <si>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</si>
  <si>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</si>
  <si>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</si>
  <si>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</si>
  <si>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</si>
  <si>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</si>
  <si>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</si>
  <si>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</si>
  <si>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</si>
  <si>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</si>
  <si>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</si>
  <si>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</si>
  <si>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</si>
  <si>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</si>
  <si>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</si>
  <si>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</si>
  <si>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</si>
  <si>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</si>
  <si>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</si>
  <si>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</si>
  <si>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</si>
  <si>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</si>
  <si>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</si>
  <si>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</si>
  <si>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</si>
  <si>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</si>
  <si>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</si>
  <si>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</si>
  <si>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</si>
  <si>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</si>
  <si>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</si>
  <si>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</si>
  <si>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</si>
  <si>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</si>
  <si>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</si>
  <si>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</si>
  <si>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</si>
  <si>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</si>
  <si>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</si>
  <si>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</si>
  <si>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</si>
  <si>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</si>
  <si>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</si>
  <si>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</si>
  <si>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</si>
  <si>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</si>
  <si>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</si>
  <si>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</si>
  <si>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</si>
  <si>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</si>
  <si>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</si>
  <si>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</si>
  <si>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</si>
  <si>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</si>
  <si>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</si>
  <si>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</si>
  <si>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</si>
  <si>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</si>
  <si>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</si>
  <si>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</si>
  <si>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</si>
  <si>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</si>
  <si>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</si>
  <si>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</si>
  <si>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</si>
  <si>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</si>
  <si>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</si>
  <si>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</si>
  <si>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</si>
  <si>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</si>
  <si>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</si>
  <si>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</si>
  <si>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</si>
  <si>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</si>
  <si>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</si>
  <si>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</si>
  <si>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</si>
  <si>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</si>
  <si>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</si>
  <si>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</si>
  <si>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</si>
  <si>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</si>
  <si>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</si>
  <si>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</si>
  <si>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</si>
  <si>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</si>
  <si>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</si>
  <si>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</si>
  <si>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</si>
  <si>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</si>
  <si>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</si>
  <si>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</si>
  <si>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</si>
  <si>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</si>
  <si>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</si>
  <si>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</si>
  <si>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</si>
  <si>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</si>
  <si>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</si>
  <si>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</si>
  <si>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</si>
  <si>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</si>
  <si>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</si>
  <si>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</si>
  <si>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</si>
  <si>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</si>
  <si>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</si>
  <si>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</si>
  <si>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</si>
  <si>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</si>
  <si>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</si>
  <si>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</si>
  <si>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</si>
  <si>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</si>
  <si>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</si>
  <si>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</si>
  <si>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</si>
  <si>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</si>
  <si>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</si>
  <si>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</si>
  <si>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</si>
  <si>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</si>
  <si>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</si>
  <si>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</si>
  <si>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</si>
  <si>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</si>
  <si>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</si>
  <si>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</si>
  <si>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</si>
  <si>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</si>
  <si>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</si>
  <si>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</si>
  <si>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</si>
  <si>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</si>
  <si>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</si>
  <si>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</si>
  <si>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</si>
  <si>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</si>
  <si>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</si>
  <si>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</si>
  <si>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</si>
  <si>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</si>
  <si>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</si>
  <si>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</si>
  <si>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</si>
  <si>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</si>
  <si>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</si>
  <si>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</si>
  <si>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</si>
  <si>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</si>
  <si>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</si>
  <si>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</si>
  <si>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</si>
  <si>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</si>
  <si>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</si>
  <si>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</si>
  <si>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</si>
  <si>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</si>
  <si>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</si>
  <si>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</si>
  <si>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</si>
  <si>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</si>
  <si>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</si>
  <si>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</si>
  <si>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</si>
  <si>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</si>
  <si>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</si>
  <si>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</si>
  <si>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</si>
  <si>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</si>
  <si>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</si>
  <si>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</si>
  <si>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</si>
  <si>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</si>
  <si>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</si>
  <si>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</si>
  <si>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</si>
  <si>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</si>
  <si>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</si>
  <si>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</si>
  <si>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</si>
  <si>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</si>
  <si>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</si>
  <si>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</si>
  <si>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</si>
  <si>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</si>
  <si>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</si>
  <si>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</si>
  <si>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</si>
  <si>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</si>
  <si>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</si>
  <si>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</si>
  <si>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</si>
  <si>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</si>
  <si>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</si>
  <si>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</si>
  <si>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</si>
  <si>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</si>
  <si>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</si>
  <si>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</si>
  <si>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</si>
  <si>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</si>
  <si>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</si>
  <si>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</si>
  <si>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</si>
  <si>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</si>
  <si>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</si>
  <si>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</si>
  <si>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</si>
  <si>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</si>
  <si>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</si>
  <si>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</si>
  <si>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</si>
  <si>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</si>
  <si>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</si>
  <si>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</si>
  <si>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</si>
  <si>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</si>
  <si>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</si>
  <si>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</si>
  <si>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</si>
  <si>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</si>
  <si>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</si>
  <si>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</si>
  <si>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</si>
  <si>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</si>
  <si>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</si>
  <si>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</si>
  <si>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</si>
  <si>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</si>
  <si>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</si>
  <si>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</si>
  <si>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</si>
  <si>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</si>
  <si>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</si>
  <si>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</si>
  <si>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</si>
  <si>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</si>
  <si>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</si>
  <si>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</si>
  <si>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</si>
  <si>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</si>
  <si>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</si>
  <si>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</si>
  <si>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</si>
  <si>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</si>
  <si>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</si>
  <si>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</si>
  <si>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</si>
  <si>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</si>
  <si>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</si>
  <si>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</si>
  <si>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</si>
  <si>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</si>
  <si>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</si>
  <si>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</si>
  <si>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</si>
  <si>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</si>
  <si>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</si>
  <si>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</si>
  <si>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</si>
  <si>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</si>
  <si>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</si>
  <si>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</si>
  <si>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</si>
  <si>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</si>
  <si>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</si>
  <si>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</si>
  <si>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</si>
  <si>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</si>
  <si>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</si>
  <si>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</si>
  <si>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</si>
  <si>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</si>
  <si>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</si>
  <si>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</si>
  <si>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</si>
  <si>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</si>
  <si>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</si>
  <si>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</si>
  <si>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</si>
  <si>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</si>
  <si>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</si>
  <si>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</si>
  <si>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</si>
  <si>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</si>
  <si>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</si>
  <si>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</si>
  <si>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</si>
  <si>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</si>
  <si>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</si>
  <si>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</si>
  <si>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</si>
  <si>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</si>
  <si>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</si>
  <si>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</si>
  <si>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</si>
  <si>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</si>
  <si>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</si>
  <si>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</si>
  <si>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</si>
  <si>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</si>
  <si>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</si>
  <si>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</si>
  <si>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</si>
  <si>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</si>
  <si>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</si>
  <si>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</si>
  <si>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</si>
  <si>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</si>
  <si>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</si>
  <si>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</si>
  <si>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</si>
  <si>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</si>
  <si>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</si>
  <si>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</si>
  <si>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</si>
  <si>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</si>
  <si>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</si>
  <si>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</si>
  <si>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</si>
  <si>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</si>
  <si>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</si>
  <si>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</si>
  <si>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</si>
  <si>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</si>
  <si>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</si>
  <si>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</si>
  <si>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</si>
  <si>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</si>
  <si>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</si>
  <si>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</si>
  <si>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</si>
  <si>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</si>
  <si>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</si>
  <si>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</si>
  <si>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</si>
  <si>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</si>
  <si>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</si>
  <si>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</si>
  <si>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</si>
  <si>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</si>
  <si>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</si>
  <si>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</si>
  <si>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</si>
  <si>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</si>
  <si>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</si>
  <si>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</si>
  <si>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</si>
  <si>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</si>
  <si>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</si>
  <si>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</si>
  <si>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</si>
  <si>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</si>
  <si>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</si>
  <si>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</si>
  <si>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</si>
  <si>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</si>
  <si>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</si>
  <si>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</si>
  <si>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</si>
  <si>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</si>
  <si>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</si>
  <si>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</si>
  <si>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</si>
  <si>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</si>
  <si>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</si>
  <si>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</si>
  <si>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</si>
  <si>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</si>
  <si>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</si>
  <si>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</si>
  <si>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</si>
  <si>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</si>
  <si>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</si>
  <si>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</si>
  <si>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</si>
  <si>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</si>
  <si>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</si>
  <si>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</si>
  <si>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</si>
  <si>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</si>
  <si>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</si>
  <si>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</si>
  <si>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</si>
  <si>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</si>
  <si>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</si>
  <si>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</si>
  <si>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</si>
  <si>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</si>
  <si>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</si>
  <si>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</si>
  <si>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</si>
  <si>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</si>
  <si>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</si>
  <si>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</si>
  <si>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</si>
  <si>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</si>
  <si>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</si>
  <si>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</si>
  <si>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</si>
  <si>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</si>
  <si>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</si>
  <si>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</si>
  <si>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</si>
  <si>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</si>
  <si>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</si>
  <si>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</si>
  <si>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</si>
  <si>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</si>
  <si>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</si>
  <si>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</si>
  <si>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</si>
  <si>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</si>
  <si>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</si>
  <si>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</si>
  <si>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</si>
  <si>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</si>
  <si>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</si>
  <si>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</si>
  <si>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</si>
  <si>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</si>
  <si>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</si>
  <si>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</si>
  <si>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</si>
  <si>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</si>
  <si>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</si>
  <si>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</si>
  <si>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</si>
  <si>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</si>
  <si>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</si>
  <si>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</si>
  <si>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</si>
  <si>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</si>
  <si>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</si>
  <si>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</si>
  <si>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</si>
  <si>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</si>
  <si>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</si>
  <si>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</si>
  <si>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</si>
  <si>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</si>
  <si>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</si>
  <si>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</si>
  <si>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</si>
  <si>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</si>
  <si>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</si>
  <si>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</si>
  <si>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</si>
  <si>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</si>
  <si>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</si>
  <si>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</si>
  <si>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</si>
  <si>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</si>
  <si>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</si>
  <si>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</si>
  <si>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</si>
  <si>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</si>
  <si>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</si>
  <si>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</si>
  <si>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</si>
  <si>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</si>
  <si>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</si>
  <si>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</si>
  <si>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</si>
  <si>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</si>
  <si>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</si>
  <si>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</si>
  <si>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</si>
  <si>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</si>
  <si>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</si>
  <si>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</si>
  <si>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</si>
  <si>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</si>
  <si>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</si>
  <si>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</si>
  <si>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</si>
  <si>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</si>
  <si>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</si>
  <si>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</si>
  <si>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</si>
  <si>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</si>
  <si>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</si>
  <si>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</si>
  <si>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</si>
  <si>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</si>
  <si>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</si>
  <si>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</si>
  <si>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</si>
  <si>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</si>
  <si>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</si>
  <si>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</si>
  <si>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</si>
  <si>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</si>
  <si>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</si>
  <si>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</si>
  <si>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</si>
  <si>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</si>
  <si>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</si>
  <si>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</si>
  <si>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</si>
  <si>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</si>
  <si>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</si>
  <si>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</si>
  <si>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</si>
  <si>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</si>
  <si>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</si>
  <si>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</si>
  <si>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</si>
  <si>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</si>
  <si>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</si>
  <si>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</si>
  <si>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</si>
  <si>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</si>
  <si>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</si>
  <si>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</si>
  <si>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</si>
  <si>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</si>
  <si>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</si>
  <si>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</si>
  <si>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</si>
  <si>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</si>
  <si>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</si>
  <si>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</si>
  <si>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</si>
  <si>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</si>
  <si>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</si>
  <si>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</si>
  <si>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</si>
  <si>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</si>
  <si>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</si>
  <si>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</si>
  <si>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</si>
  <si>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</si>
  <si>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</si>
  <si>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</si>
  <si>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</si>
  <si>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</si>
  <si>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</si>
  <si>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</si>
  <si>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</si>
  <si>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</si>
  <si>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</si>
  <si>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</si>
  <si>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</si>
  <si>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</si>
  <si>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</si>
  <si>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</si>
  <si>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</si>
  <si>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</si>
  <si>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</si>
  <si>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</si>
  <si>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</si>
  <si>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</si>
  <si>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</si>
  <si>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</si>
  <si>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</si>
  <si>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</si>
  <si>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</si>
  <si>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</si>
  <si>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</si>
  <si>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</si>
  <si>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</si>
  <si>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</si>
  <si>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</si>
  <si>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</si>
  <si>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</si>
  <si>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</si>
  <si>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</si>
  <si>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</si>
  <si>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</si>
  <si>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</si>
  <si>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</si>
  <si>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</si>
  <si>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</si>
  <si>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</si>
  <si>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</si>
  <si>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</si>
  <si>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</si>
  <si>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</si>
  <si>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</si>
  <si>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</si>
  <si>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</si>
  <si>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</si>
  <si>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</si>
  <si>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</si>
  <si>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</si>
  <si>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</si>
  <si>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</si>
  <si>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</si>
  <si>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</si>
  <si>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</si>
  <si>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</si>
  <si>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</si>
  <si>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</si>
  <si>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</si>
  <si>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</si>
  <si>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</si>
  <si>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</si>
  <si>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</si>
  <si>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</si>
  <si>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</si>
  <si>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</si>
  <si>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</si>
  <si>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</si>
  <si>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</si>
  <si>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</si>
  <si>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</si>
  <si>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</si>
  <si>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</si>
  <si>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</si>
  <si>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</si>
  <si>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</si>
  <si>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</si>
  <si>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</si>
  <si>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</si>
  <si>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</si>
  <si>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</si>
  <si>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</si>
  <si>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</si>
  <si>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</si>
  <si>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</si>
  <si>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</si>
  <si>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</si>
  <si>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</si>
  <si>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</si>
  <si>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</si>
  <si>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</si>
  <si>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</si>
  <si>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</si>
  <si>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</si>
  <si>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</si>
  <si>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</si>
  <si>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</si>
  <si>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</si>
  <si>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</si>
  <si>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</si>
  <si>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</si>
  <si>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</si>
  <si>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</si>
  <si>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</si>
  <si>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</si>
  <si>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</si>
  <si>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</si>
  <si>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</si>
  <si>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</si>
  <si>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</si>
  <si>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</si>
  <si>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</si>
  <si>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</si>
  <si>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</si>
  <si>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</si>
  <si>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</si>
  <si>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</si>
  <si>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</si>
  <si>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</si>
  <si>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</si>
  <si>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</si>
  <si>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</si>
  <si>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</si>
  <si>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</si>
  <si>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</si>
  <si>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</si>
  <si>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</si>
  <si>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</si>
  <si>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</si>
  <si>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</si>
  <si>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</si>
  <si>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</si>
  <si>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</si>
  <si>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</si>
  <si>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</si>
  <si>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</si>
  <si>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</si>
  <si>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</si>
  <si>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</si>
  <si>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</si>
  <si>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</si>
  <si>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</si>
  <si>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</si>
  <si>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</si>
  <si>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</si>
  <si>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</si>
  <si>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</si>
  <si>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</si>
  <si>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</si>
  <si>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</si>
  <si>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</si>
  <si>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</si>
  <si>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</si>
  <si>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</si>
  <si>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</si>
  <si>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</si>
  <si>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</si>
  <si>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</si>
  <si>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</si>
  <si>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</si>
  <si>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</si>
  <si>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</si>
  <si>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</si>
  <si>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</si>
  <si>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</si>
  <si>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</si>
  <si>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</si>
  <si>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</si>
  <si>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</si>
  <si>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</si>
  <si>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</si>
  <si>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</si>
  <si>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</si>
  <si>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</si>
  <si>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</si>
  <si>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</si>
  <si>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</si>
  <si>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</si>
  <si>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</si>
  <si>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</si>
  <si>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</si>
  <si>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</si>
  <si>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</si>
  <si>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</si>
  <si>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</si>
  <si>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</si>
  <si>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</si>
  <si>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</si>
  <si>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</si>
  <si>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</si>
  <si>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</si>
  <si>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</si>
  <si>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</si>
  <si>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</si>
  <si>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</si>
  <si>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</si>
  <si>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</si>
  <si>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</si>
  <si>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</si>
  <si>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</si>
  <si>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</si>
  <si>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</si>
  <si>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</si>
  <si>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</si>
  <si>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</si>
  <si>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</si>
  <si>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</si>
  <si>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</si>
  <si>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</si>
  <si>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</si>
  <si>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</si>
  <si>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</si>
  <si>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</si>
  <si>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</si>
  <si>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</si>
  <si>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</si>
  <si>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</si>
  <si>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</si>
  <si>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</si>
  <si>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</si>
  <si>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</si>
  <si>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</si>
  <si>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</si>
  <si>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</si>
  <si>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</si>
  <si>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</si>
  <si>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</si>
  <si>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</si>
  <si>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</si>
  <si>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</si>
  <si>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</si>
  <si>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</si>
  <si>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</si>
  <si>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</si>
  <si>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</si>
  <si>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</si>
  <si>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</si>
  <si>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</si>
  <si>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</si>
  <si>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</si>
  <si>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</si>
  <si>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</si>
  <si>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</si>
  <si>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</si>
  <si>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</si>
  <si>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</si>
  <si>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</si>
  <si>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</si>
  <si>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</si>
  <si>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</si>
  <si>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</si>
  <si>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</si>
  <si>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</si>
  <si>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</si>
  <si>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</si>
  <si>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</si>
  <si>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</si>
  <si>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</si>
  <si>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</si>
  <si>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</si>
  <si>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</si>
  <si>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</si>
  <si>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</si>
  <si>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</si>
  <si>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</si>
  <si>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</si>
  <si>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</si>
  <si>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</si>
  <si>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</si>
  <si>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</si>
  <si>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</si>
  <si>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</si>
  <si>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</si>
  <si>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</si>
  <si>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</si>
  <si>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</si>
  <si>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</si>
  <si>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</si>
  <si>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</si>
  <si>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</si>
  <si>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</si>
  <si>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</si>
  <si>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</si>
  <si>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</si>
  <si>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</si>
  <si>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</si>
  <si>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</si>
  <si>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</si>
  <si>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</si>
  <si>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</si>
  <si>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</si>
  <si>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</si>
  <si>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</si>
  <si>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</si>
  <si>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</si>
  <si>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</si>
  <si>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</si>
  <si>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</si>
  <si>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</si>
  <si>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</si>
  <si>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</si>
  <si>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</si>
  <si>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</si>
  <si>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</si>
  <si>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</si>
  <si>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</si>
  <si>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</si>
  <si>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</si>
  <si>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</si>
  <si>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</si>
  <si>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</si>
  <si>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</si>
  <si>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</si>
  <si>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</si>
  <si>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</si>
  <si>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</si>
  <si>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</si>
  <si>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</si>
  <si>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</si>
  <si>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</si>
  <si>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</si>
  <si>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</si>
  <si>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</si>
  <si>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</si>
  <si>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</si>
  <si>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</si>
  <si>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</si>
  <si>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</si>
  <si>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</si>
  <si>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</si>
  <si>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</si>
  <si>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</si>
  <si>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</si>
  <si>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</si>
  <si>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</si>
  <si>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</si>
  <si>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</si>
  <si>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</si>
  <si>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</si>
  <si>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</si>
  <si>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</si>
  <si>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</si>
  <si>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</si>
  <si>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</si>
  <si>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</si>
  <si>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</si>
  <si>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</si>
  <si>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</si>
  <si>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</si>
  <si>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</si>
  <si>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</si>
  <si>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</si>
  <si>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</si>
  <si>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</si>
  <si>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</si>
  <si>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</si>
  <si>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</si>
  <si>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</si>
  <si>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</si>
  <si>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</si>
  <si>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</si>
  <si>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</si>
  <si>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</si>
  <si>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</si>
  <si>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</si>
  <si>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</si>
  <si>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</si>
  <si>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</si>
  <si>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</si>
  <si>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</si>
  <si>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</si>
  <si>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</si>
  <si>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</si>
  <si>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</si>
  <si>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</si>
  <si>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</si>
  <si>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</si>
  <si>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</si>
  <si>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</si>
  <si>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</si>
  <si>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</si>
  <si>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</si>
  <si>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</si>
  <si>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</si>
  <si>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</si>
  <si>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</si>
  <si>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</si>
  <si>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</si>
  <si>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</si>
  <si>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</si>
  <si>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</si>
  <si>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</si>
  <si>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</si>
  <si>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</si>
  <si>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</si>
  <si>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</si>
  <si>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</si>
  <si>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</si>
  <si>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</si>
  <si>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</si>
  <si>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</si>
  <si>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</si>
  <si>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</si>
  <si>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</si>
  <si>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</si>
  <si>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</si>
  <si>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</si>
  <si>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</si>
  <si>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</si>
  <si>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</si>
  <si>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</si>
  <si>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</si>
  <si>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</si>
  <si>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</si>
  <si>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</si>
  <si>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</si>
  <si>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</si>
  <si>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</si>
  <si>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</si>
  <si>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</si>
  <si>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</si>
  <si>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</si>
  <si>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</si>
  <si>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</si>
  <si>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</si>
  <si>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</si>
  <si>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</si>
  <si>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</si>
  <si>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</si>
  <si>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</si>
  <si>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</si>
  <si>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</si>
  <si>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</si>
  <si>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</si>
  <si>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</si>
  <si>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</si>
  <si>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</si>
  <si>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</si>
  <si>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</si>
  <si>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</si>
  <si>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</si>
  <si>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</si>
  <si>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</si>
  <si>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</si>
  <si>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</si>
  <si>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</si>
  <si>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</si>
  <si>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</si>
  <si>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</si>
  <si>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</si>
  <si>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</si>
  <si>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</si>
  <si>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</si>
  <si>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</si>
  <si>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</si>
  <si>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</si>
  <si>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</si>
  <si>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</si>
  <si>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</si>
  <si>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</si>
  <si>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</si>
  <si>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</si>
  <si>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</si>
  <si>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</si>
  <si>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</si>
  <si>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</si>
  <si>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</si>
  <si>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</si>
  <si>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</si>
  <si>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</si>
  <si>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</si>
  <si>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</si>
  <si>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</si>
  <si>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</si>
  <si>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</si>
  <si>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</si>
  <si>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</si>
  <si>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</si>
  <si>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</si>
  <si>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</si>
  <si>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</si>
  <si>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</si>
  <si>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</si>
  <si>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</si>
  <si>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</si>
  <si>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</si>
  <si>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</si>
  <si>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</si>
  <si>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</si>
  <si>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</si>
  <si>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</si>
  <si>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</si>
  <si>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</si>
  <si>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</si>
  <si>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</si>
  <si>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</si>
  <si>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</si>
  <si>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</si>
  <si>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</si>
  <si>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</si>
  <si>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</si>
  <si>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</si>
  <si>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</si>
  <si>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</si>
  <si>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</si>
  <si>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</si>
  <si>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</si>
  <si>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</si>
  <si>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</si>
  <si>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</si>
  <si>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</si>
  <si>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</si>
  <si>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</si>
  <si>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</si>
  <si>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</si>
  <si>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</si>
  <si>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</si>
  <si>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</si>
  <si>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</si>
  <si>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</si>
  <si>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</si>
  <si>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</si>
  <si>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</si>
  <si>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</si>
  <si>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</si>
  <si>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</si>
  <si>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</si>
  <si>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</si>
  <si>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</si>
  <si>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</si>
  <si>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</si>
  <si>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</si>
  <si>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</si>
  <si>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</si>
  <si>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</si>
  <si>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</si>
  <si>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</si>
  <si>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</si>
  <si>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</si>
  <si>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</si>
  <si>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</si>
  <si>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</si>
  <si>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</si>
  <si>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</si>
  <si>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</si>
  <si>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</si>
  <si>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</si>
  <si>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</si>
  <si>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</si>
  <si>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</si>
  <si>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</si>
  <si>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</si>
  <si>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</si>
  <si>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</si>
  <si>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</si>
  <si>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</si>
  <si>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</si>
  <si>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</si>
  <si>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</si>
  <si>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</si>
  <si>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</si>
  <si>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</si>
  <si>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</si>
  <si>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</si>
  <si>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</si>
  <si>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</si>
  <si>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</si>
  <si>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</si>
  <si>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</si>
  <si>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</si>
  <si>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</si>
  <si>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</si>
  <si>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</si>
  <si>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</si>
  <si>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</si>
  <si>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</si>
  <si>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</si>
  <si>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</si>
  <si>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</si>
  <si>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</si>
  <si>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</si>
  <si>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</si>
  <si>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</si>
  <si>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</si>
  <si>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</si>
  <si>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</si>
  <si>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</si>
  <si>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</si>
  <si>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</si>
  <si>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</si>
  <si>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</si>
  <si>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</si>
  <si>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</si>
  <si>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</si>
  <si>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</si>
  <si>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</si>
  <si>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</si>
  <si>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</si>
  <si>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</si>
  <si>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</si>
  <si>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</si>
  <si>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</si>
  <si>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</si>
  <si>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</si>
  <si>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</si>
  <si>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</si>
  <si>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</si>
  <si>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</si>
  <si>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</si>
  <si>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</si>
  <si>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</si>
  <si>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</si>
  <si>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</si>
  <si>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</si>
  <si>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</si>
  <si>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</si>
  <si>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</si>
  <si>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</si>
  <si>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</si>
  <si>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</si>
  <si>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</si>
  <si>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</si>
  <si>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</si>
  <si>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</si>
  <si>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</si>
  <si>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</si>
  <si>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</si>
  <si>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</si>
  <si>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</si>
  <si>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</si>
  <si>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</si>
  <si>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</si>
  <si>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</si>
  <si>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</si>
  <si>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</si>
  <si>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</si>
  <si>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</si>
  <si>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</si>
  <si>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</si>
  <si>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</si>
  <si>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</si>
  <si>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</si>
  <si>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</si>
  <si>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</si>
  <si>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</si>
  <si>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</si>
  <si>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</si>
  <si>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</si>
  <si>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</si>
  <si>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</si>
  <si>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</si>
  <si>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</si>
  <si>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</si>
  <si>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</si>
  <si>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</si>
  <si>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</si>
  <si>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</si>
  <si>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</si>
  <si>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</si>
  <si>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</si>
  <si>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</si>
  <si>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</si>
  <si>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</si>
  <si>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</si>
  <si>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</si>
  <si>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</si>
  <si>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</si>
  <si>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</si>
  <si>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</si>
  <si>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</si>
  <si>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</si>
  <si>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</si>
  <si>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</si>
  <si>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</si>
  <si>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</si>
  <si>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</si>
  <si>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</si>
  <si>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</si>
  <si>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</si>
  <si>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</si>
  <si>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</si>
  <si>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</si>
  <si>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</si>
  <si>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</si>
  <si>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</si>
  <si>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</si>
  <si>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</si>
  <si>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</si>
  <si>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</si>
  <si>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</si>
  <si>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</si>
  <si>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</si>
  <si>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</si>
  <si>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</si>
  <si>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</si>
  <si>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</si>
  <si>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</si>
  <si>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</si>
  <si>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</si>
  <si>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</si>
  <si>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</si>
  <si>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</si>
  <si>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</si>
  <si>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</si>
  <si>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</si>
  <si>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</si>
  <si>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</si>
  <si>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</si>
  <si>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</si>
  <si>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</si>
  <si>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</si>
  <si>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</si>
  <si>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</si>
  <si>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</si>
  <si>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</si>
  <si>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</si>
  <si>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</si>
  <si>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</si>
  <si>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</si>
  <si>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</si>
  <si>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</si>
  <si>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</si>
  <si>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</si>
  <si>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</si>
  <si>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</si>
  <si>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</si>
  <si>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</si>
  <si>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</si>
  <si>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</si>
  <si>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</si>
  <si>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</si>
  <si>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</si>
  <si>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</si>
  <si>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</si>
  <si>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</si>
  <si>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</si>
  <si>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</si>
  <si>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</si>
  <si>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</si>
  <si>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</si>
  <si>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</si>
  <si>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</si>
  <si>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</si>
  <si>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</si>
  <si>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</si>
  <si>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</si>
  <si>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</si>
  <si>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</si>
  <si>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</si>
  <si>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</si>
  <si>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</si>
  <si>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</si>
  <si>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</si>
  <si>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</si>
  <si>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</si>
  <si>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</si>
  <si>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</si>
  <si>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</si>
  <si>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</si>
  <si>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</si>
  <si>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</si>
  <si>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</si>
  <si>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</si>
  <si>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</si>
  <si>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</si>
  <si>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</si>
  <si>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</si>
  <si>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</si>
  <si>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</si>
  <si>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</si>
  <si>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</si>
  <si>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</si>
  <si>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</si>
  <si>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</si>
  <si>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</si>
  <si>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</si>
  <si>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</si>
  <si>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</si>
  <si>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</si>
  <si>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</si>
  <si>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</si>
  <si>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</si>
  <si>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</si>
  <si>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</si>
  <si>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</si>
  <si>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</si>
  <si>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</si>
  <si>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</si>
  <si>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</si>
  <si>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</si>
  <si>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</si>
  <si>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</si>
  <si>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</si>
  <si>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</si>
  <si>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</si>
  <si>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</si>
  <si>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</si>
  <si>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</si>
  <si>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</si>
  <si>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</si>
  <si>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</si>
  <si>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</si>
  <si>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</si>
  <si>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</si>
  <si>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</si>
  <si>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</si>
  <si>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</si>
  <si>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</si>
  <si>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</si>
  <si>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</si>
  <si>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</si>
  <si>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</si>
  <si>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</si>
  <si>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</si>
  <si>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</si>
  <si>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</si>
  <si>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</si>
  <si>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</si>
  <si>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</si>
  <si>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</si>
  <si>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</si>
  <si>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</si>
  <si>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</si>
  <si>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</si>
  <si>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</si>
  <si>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</si>
  <si>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</si>
  <si>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</si>
  <si>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</si>
  <si>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</si>
  <si>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</si>
  <si>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</si>
  <si>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</si>
  <si>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</si>
  <si>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</si>
  <si>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</si>
  <si>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</si>
  <si>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</si>
  <si>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</si>
  <si>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</si>
  <si>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</si>
  <si>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</si>
  <si>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</si>
  <si>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</si>
  <si>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</si>
  <si>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</si>
  <si>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</si>
  <si>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</si>
  <si>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</si>
  <si>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</si>
  <si>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</si>
  <si>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</si>
  <si>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</si>
  <si>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</si>
  <si>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</si>
  <si>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</si>
  <si>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</si>
  <si>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</si>
  <si>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</si>
  <si>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</si>
  <si>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</si>
  <si>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</si>
  <si>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</si>
  <si>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</si>
  <si>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</si>
  <si>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</si>
  <si>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</si>
  <si>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</si>
  <si>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</si>
  <si>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</si>
  <si>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</si>
  <si>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</si>
  <si>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</si>
  <si>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</si>
  <si>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</si>
  <si>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</si>
  <si>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</si>
  <si>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</si>
  <si>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</si>
  <si>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</si>
  <si>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</si>
  <si>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</si>
  <si>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</si>
  <si>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</si>
  <si>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</si>
  <si>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</si>
  <si>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</si>
  <si>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</si>
  <si>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</si>
  <si>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</si>
  <si>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</si>
  <si>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</si>
  <si>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</si>
  <si>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</si>
  <si>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</si>
  <si>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</si>
  <si>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</si>
  <si>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</si>
  <si>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</si>
  <si>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</si>
  <si>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</si>
  <si>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</si>
  <si>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</si>
  <si>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</si>
  <si>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</si>
  <si>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</si>
  <si>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</si>
  <si>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</si>
  <si>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</si>
  <si>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</si>
  <si>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</si>
  <si>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</si>
  <si>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</si>
  <si>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</si>
  <si>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</si>
  <si>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</si>
  <si>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</si>
  <si>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</si>
  <si>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</si>
  <si>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</si>
  <si>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</si>
  <si>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</si>
  <si>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</si>
  <si>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</si>
  <si>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</si>
  <si>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</si>
  <si>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</si>
  <si>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</si>
  <si>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</si>
  <si>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</si>
  <si>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</si>
  <si>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</si>
  <si>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</si>
  <si>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</si>
  <si>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</si>
  <si>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</si>
  <si>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</si>
  <si>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</si>
  <si>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</si>
  <si>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</si>
  <si>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</si>
  <si>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</si>
  <si>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</si>
  <si>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</si>
  <si>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</si>
  <si>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</si>
  <si>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</si>
  <si>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</si>
  <si>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</si>
  <si>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</si>
  <si>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</si>
  <si>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</si>
  <si>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</si>
  <si>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</si>
  <si>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</si>
  <si>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</si>
  <si>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</si>
  <si>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</si>
  <si>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</si>
  <si>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</si>
  <si>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</si>
  <si>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</si>
  <si>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</si>
  <si>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</si>
  <si>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</si>
  <si>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</si>
  <si>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</si>
  <si>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</si>
  <si>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</si>
  <si>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</si>
  <si>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</si>
  <si>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</si>
  <si>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</si>
  <si>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</si>
  <si>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</si>
  <si>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</si>
  <si>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</si>
  <si>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</si>
  <si>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</si>
  <si>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</si>
  <si>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</si>
  <si>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</si>
  <si>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</si>
  <si>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</si>
  <si>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</si>
  <si>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</si>
  <si>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</si>
  <si>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</si>
  <si>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</si>
  <si>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</si>
  <si>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</si>
  <si>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</si>
  <si>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</si>
  <si>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</si>
  <si>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</si>
  <si>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</si>
  <si>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</si>
  <si>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</si>
  <si>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</si>
  <si>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</si>
  <si>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</si>
  <si>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</si>
  <si>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</si>
  <si>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</si>
  <si>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</si>
  <si>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</si>
  <si>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</si>
  <si>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</si>
  <si>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</si>
  <si>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</si>
  <si>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</si>
  <si>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</si>
  <si>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</si>
  <si>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</si>
  <si>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</si>
  <si>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</si>
  <si>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</si>
  <si>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</si>
  <si>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</si>
  <si>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</si>
  <si>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</si>
  <si>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</si>
  <si>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</si>
  <si>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</si>
  <si>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</si>
  <si>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</si>
  <si>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</si>
  <si>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</si>
  <si>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</si>
  <si>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</si>
  <si>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</si>
  <si>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</si>
  <si>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</si>
  <si>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</si>
  <si>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</si>
  <si>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</si>
  <si>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</si>
  <si>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</si>
  <si>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</si>
  <si>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</si>
  <si>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</si>
  <si>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</si>
  <si>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</si>
  <si>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</si>
  <si>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</si>
  <si>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</si>
  <si>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</si>
  <si>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</si>
  <si>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</si>
  <si>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</si>
  <si>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</si>
  <si>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</si>
  <si>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</si>
  <si>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</si>
  <si>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</si>
  <si>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</si>
  <si>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</si>
  <si>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</si>
  <si>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</si>
  <si>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</si>
  <si>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</si>
  <si>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</si>
  <si>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</si>
  <si>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</si>
  <si>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</si>
  <si>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</si>
  <si>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</si>
  <si>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</si>
  <si>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</si>
  <si>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</si>
  <si>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</si>
  <si>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</si>
  <si>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</si>
  <si>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</si>
  <si>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</si>
  <si>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</si>
  <si>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</si>
  <si>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</si>
  <si>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</si>
  <si>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</si>
  <si>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</si>
  <si>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</si>
  <si>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</si>
  <si>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</si>
  <si>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</si>
  <si>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</si>
  <si>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</si>
  <si>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</si>
  <si>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</si>
  <si>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</si>
  <si>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</si>
  <si>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</si>
  <si>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</si>
  <si>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</si>
  <si>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</si>
  <si>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</si>
  <si>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</si>
  <si>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</si>
  <si>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</si>
  <si>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</si>
  <si>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</si>
  <si>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</si>
  <si>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</si>
  <si>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</si>
  <si>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</si>
  <si>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</si>
  <si>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</si>
  <si>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</si>
  <si>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</si>
  <si>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</si>
  <si>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</si>
  <si>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</si>
  <si>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</si>
  <si>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</si>
  <si>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</si>
  <si>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</si>
  <si>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</si>
  <si>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</si>
  <si>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</si>
  <si>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</si>
  <si>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</si>
  <si>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</si>
  <si>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</si>
  <si>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</si>
  <si>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</si>
  <si>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</si>
  <si>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</si>
  <si>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</si>
  <si>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</si>
  <si>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</si>
  <si>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</si>
  <si>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</si>
  <si>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</si>
  <si>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</si>
  <si>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</si>
  <si>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</si>
  <si>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</si>
  <si>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</si>
  <si>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</si>
  <si>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</si>
  <si>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</si>
  <si>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</si>
  <si>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</si>
  <si>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</si>
  <si>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</si>
  <si>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</si>
  <si>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</si>
  <si>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</si>
  <si>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</si>
  <si>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</si>
  <si>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</si>
  <si>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</si>
  <si>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</si>
  <si>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</si>
  <si>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</si>
  <si>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</si>
  <si>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</si>
  <si>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</si>
  <si>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</si>
  <si>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</si>
  <si>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</si>
  <si>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</si>
  <si>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</si>
  <si>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</si>
  <si>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</si>
  <si>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</si>
  <si>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</si>
  <si>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</si>
  <si>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</si>
  <si>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</si>
  <si>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</si>
  <si>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</si>
  <si>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</si>
  <si>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</si>
  <si>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</si>
  <si>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</si>
  <si>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</si>
  <si>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</si>
  <si>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</si>
  <si>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</si>
  <si>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</si>
  <si>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</si>
  <si>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</si>
  <si>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</si>
  <si>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</si>
  <si>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</si>
  <si>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</si>
  <si>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</si>
  <si>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</si>
  <si>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</si>
  <si>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</si>
  <si>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</si>
  <si>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</si>
  <si>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</si>
  <si>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</si>
  <si>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</si>
  <si>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</si>
  <si>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</si>
  <si>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</si>
  <si>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</si>
  <si>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</si>
  <si>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</si>
  <si>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</si>
  <si>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</si>
  <si>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</si>
  <si>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</si>
  <si>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</si>
  <si>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</si>
  <si>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</si>
  <si>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</si>
  <si>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</si>
  <si>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</si>
  <si>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</si>
  <si>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</si>
  <si>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</si>
  <si>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</si>
  <si>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</si>
  <si>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</si>
  <si>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</si>
  <si>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</si>
  <si>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</si>
  <si>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</si>
  <si>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</si>
  <si>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</si>
  <si>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</si>
  <si>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</si>
  <si>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</si>
  <si>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</si>
  <si>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</si>
  <si>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</si>
  <si>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</si>
  <si>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</si>
  <si>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</si>
  <si>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</si>
  <si>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</si>
  <si>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</si>
  <si>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</si>
  <si>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</si>
  <si>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</si>
  <si>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</si>
  <si>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</si>
  <si>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</si>
  <si>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</si>
  <si>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</si>
  <si>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</si>
  <si>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</si>
  <si>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</si>
  <si>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</si>
  <si>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</si>
  <si>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</si>
  <si>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</si>
  <si>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</si>
  <si>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</si>
  <si>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</si>
  <si>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</si>
  <si>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</si>
  <si>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</si>
  <si>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</si>
  <si>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</si>
  <si>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</si>
  <si>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</si>
  <si>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</si>
  <si>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</si>
  <si>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</si>
  <si>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</si>
  <si>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</si>
  <si>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</si>
  <si>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</si>
  <si>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</si>
  <si>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</si>
  <si>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</si>
  <si>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</si>
  <si>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</si>
  <si>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</si>
  <si>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</si>
  <si>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</si>
  <si>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</si>
  <si>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</si>
  <si>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</si>
  <si>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</si>
  <si>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</si>
  <si>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</si>
  <si>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</si>
  <si>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</si>
  <si>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</si>
  <si>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</si>
  <si>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</si>
  <si>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</si>
  <si>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</si>
  <si>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</si>
  <si>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</si>
  <si>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</si>
  <si>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</si>
  <si>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</si>
  <si>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</si>
  <si>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</si>
  <si>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</si>
  <si>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</si>
  <si>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</si>
  <si>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</si>
  <si>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</si>
  <si>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</si>
  <si>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</si>
  <si>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</si>
  <si>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</si>
  <si>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</si>
  <si>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</si>
  <si>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</si>
  <si>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</si>
  <si>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</si>
  <si>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</si>
  <si>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</si>
  <si>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</si>
  <si>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</si>
  <si>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</si>
  <si>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</si>
  <si>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</si>
  <si>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</si>
  <si>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</si>
  <si>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</si>
  <si>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</si>
  <si>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</si>
  <si>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</si>
  <si>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</si>
  <si>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</si>
  <si>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</si>
  <si>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</si>
  <si>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</si>
  <si>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</si>
  <si>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</si>
  <si>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</si>
  <si>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</si>
  <si>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</si>
  <si>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</si>
  <si>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</si>
  <si>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</si>
  <si>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</si>
  <si>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</si>
  <si>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</si>
  <si>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</si>
  <si>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</si>
  <si>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</si>
  <si>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</si>
  <si>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</si>
  <si>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</si>
  <si>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</si>
  <si>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</si>
  <si>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</si>
  <si>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</si>
  <si>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</si>
  <si>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</si>
  <si>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</si>
  <si>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</si>
  <si>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</si>
  <si>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</si>
  <si>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</si>
  <si>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</si>
  <si>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</si>
  <si>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</si>
  <si>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</si>
  <si>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</si>
  <si>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</si>
  <si>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</si>
  <si>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</si>
  <si>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</si>
  <si>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</si>
  <si>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</si>
  <si>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</si>
  <si>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</si>
  <si>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</si>
  <si>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</si>
  <si>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</si>
  <si>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</si>
  <si>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</si>
  <si>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</si>
  <si>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</si>
  <si>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</si>
  <si>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</si>
  <si>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</si>
  <si>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</si>
  <si>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</si>
  <si>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</si>
  <si>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</si>
  <si>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</si>
  <si>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</si>
  <si>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</si>
  <si>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</si>
  <si>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</si>
  <si>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</si>
  <si>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</si>
  <si>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</si>
  <si>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</si>
  <si>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</si>
  <si>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</si>
  <si>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</si>
  <si>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</si>
  <si>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</si>
  <si>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</si>
  <si>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</si>
  <si>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</si>
  <si>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</si>
  <si>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</si>
  <si>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</si>
  <si>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</si>
  <si>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</si>
  <si>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</si>
  <si>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</si>
  <si>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</si>
  <si>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</si>
  <si>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</si>
  <si>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</si>
  <si>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</si>
  <si>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</si>
  <si>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</si>
  <si>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</si>
  <si>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</si>
  <si>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</si>
  <si>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</si>
  <si>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</si>
  <si>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</si>
  <si>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</si>
  <si>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</si>
  <si>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</si>
  <si>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</si>
  <si>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</si>
  <si>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</si>
  <si>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</si>
  <si>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</si>
  <si>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</si>
  <si>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</si>
  <si>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</si>
  <si>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</si>
  <si>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</si>
  <si>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</si>
  <si>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</si>
  <si>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</si>
  <si>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</si>
  <si>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</si>
  <si>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</si>
  <si>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</si>
  <si>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</si>
  <si>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</si>
  <si>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</si>
  <si>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</si>
  <si>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</si>
  <si>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</si>
  <si>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</si>
  <si>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</si>
  <si>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</si>
  <si>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</si>
  <si>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</si>
  <si>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</si>
  <si>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</si>
  <si>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</si>
  <si>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</si>
  <si>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</si>
  <si>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</si>
  <si>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</si>
  <si>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</si>
  <si>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</si>
  <si>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</si>
  <si>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</si>
  <si>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</si>
  <si>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</si>
  <si>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</si>
  <si>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</si>
  <si>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</si>
  <si>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</si>
  <si>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</si>
  <si>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</si>
  <si>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</si>
  <si>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</si>
  <si>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</si>
  <si>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</si>
  <si>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</si>
  <si>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</si>
  <si>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</si>
  <si>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</si>
  <si>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</si>
  <si>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</si>
  <si>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</si>
  <si>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</si>
  <si>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</si>
  <si>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</si>
  <si>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</si>
  <si>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</si>
  <si>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</si>
  <si>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</si>
  <si>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</si>
  <si>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</si>
  <si>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</si>
  <si>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</si>
  <si>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</si>
  <si>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</si>
  <si>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</si>
  <si>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</si>
  <si>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</si>
  <si>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</si>
  <si>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</si>
  <si>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</si>
  <si>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</si>
  <si>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</si>
  <si>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</si>
  <si>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</si>
  <si>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</si>
  <si>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</si>
  <si>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</si>
  <si>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</si>
  <si>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</si>
  <si>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</si>
  <si>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</si>
  <si>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</si>
  <si>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</si>
  <si>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</si>
  <si>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</si>
  <si>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</si>
  <si>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</si>
  <si>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</si>
  <si>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</si>
  <si>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</si>
  <si>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</si>
  <si>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</si>
  <si>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</si>
  <si>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</si>
  <si>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</si>
  <si>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</si>
  <si>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</si>
  <si>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</si>
  <si>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</si>
  <si>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</si>
  <si>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</si>
  <si>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</si>
  <si>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</si>
  <si>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</si>
  <si>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</si>
  <si>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</si>
  <si>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</si>
  <si>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</si>
  <si>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</si>
  <si>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</si>
  <si>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</si>
  <si>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</si>
  <si>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</si>
  <si>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</si>
  <si>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</si>
  <si>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</si>
  <si>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</si>
  <si>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</si>
  <si>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</si>
  <si>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</si>
  <si>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</si>
  <si>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</si>
  <si>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</si>
  <si>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</si>
  <si>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</si>
  <si>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</si>
  <si>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</si>
  <si>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</si>
  <si>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</si>
  <si>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</si>
  <si>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</si>
  <si>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</si>
  <si>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</si>
  <si>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</si>
  <si>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</si>
  <si>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</si>
  <si>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</si>
  <si>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</si>
  <si>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</si>
  <si>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</si>
  <si>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</si>
  <si>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</si>
  <si>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</si>
  <si>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</si>
  <si>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</si>
  <si>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</si>
  <si>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</si>
  <si>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</si>
  <si>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</si>
  <si>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</si>
  <si>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</si>
  <si>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</si>
  <si>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</si>
  <si>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</si>
  <si>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</si>
  <si>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</si>
  <si>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</si>
  <si>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</si>
  <si>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</si>
  <si>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</si>
  <si>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</si>
  <si>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</si>
  <si>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</si>
  <si>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</si>
  <si>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</si>
  <si>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</si>
  <si>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</si>
  <si>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</si>
  <si>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</si>
  <si>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</si>
  <si>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</si>
  <si>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</si>
  <si>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</si>
  <si>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</si>
  <si>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</si>
  <si>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</si>
  <si>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</si>
  <si>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</si>
  <si>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</si>
  <si>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</si>
  <si>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</si>
  <si>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</si>
  <si>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</si>
  <si>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</si>
  <si>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</si>
  <si>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</si>
  <si>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</si>
  <si>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</si>
  <si>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</si>
  <si>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</si>
  <si>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</si>
  <si>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</si>
  <si>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</si>
  <si>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</si>
  <si>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</si>
  <si>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</si>
  <si>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</si>
  <si>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</si>
  <si>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</si>
  <si>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</si>
  <si>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</si>
  <si>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</si>
  <si>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</si>
  <si>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</si>
  <si>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</si>
  <si>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</si>
  <si>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</si>
  <si>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</si>
  <si>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</si>
  <si>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</si>
  <si>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</si>
  <si>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</si>
  <si>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</si>
  <si>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</si>
  <si>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</si>
  <si>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</si>
  <si>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</si>
  <si>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</si>
  <si>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</si>
  <si>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</si>
  <si>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</si>
  <si>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</si>
  <si>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</si>
  <si>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</si>
  <si>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</si>
  <si>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</si>
  <si>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</si>
  <si>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</si>
  <si>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</si>
  <si>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</si>
  <si>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</si>
  <si>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</si>
  <si>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</si>
  <si>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</si>
  <si>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</si>
  <si>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</si>
  <si>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</si>
  <si>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</si>
  <si>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</si>
  <si>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</si>
  <si>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</si>
  <si>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</si>
  <si>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</si>
  <si>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</si>
  <si>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</si>
  <si>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</si>
  <si>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</si>
  <si>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</si>
  <si>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</si>
  <si>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</si>
  <si>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</si>
  <si>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</si>
  <si>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</si>
  <si>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</si>
  <si>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</si>
  <si>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</si>
  <si>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</si>
  <si>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</si>
  <si>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</si>
  <si>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</si>
  <si>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</si>
  <si>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</si>
  <si>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</si>
  <si>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</si>
  <si>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</si>
  <si>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</si>
  <si>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</si>
  <si>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</si>
  <si>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</si>
  <si>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</si>
  <si>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</si>
  <si>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</si>
  <si>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</si>
  <si>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</si>
  <si>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</si>
  <si>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</si>
  <si>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</si>
  <si>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</si>
  <si>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</si>
  <si>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</si>
  <si>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</si>
  <si>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</si>
  <si>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</si>
  <si>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</si>
  <si>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</si>
  <si>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</si>
  <si>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</si>
  <si>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</si>
  <si>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</si>
  <si>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</si>
  <si>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</si>
  <si>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</si>
  <si>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</si>
  <si>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</si>
  <si>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</si>
  <si>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</si>
  <si>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</si>
  <si>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</si>
  <si>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</si>
  <si>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</si>
  <si>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</si>
  <si>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</si>
  <si>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</si>
  <si>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</si>
  <si>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</si>
  <si>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</si>
  <si>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</si>
  <si>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</si>
  <si>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</si>
  <si>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</si>
  <si>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</si>
  <si>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</si>
  <si>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</si>
  <si>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</si>
  <si>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</si>
  <si>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</si>
  <si>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</si>
  <si>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</si>
  <si>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</si>
  <si>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</si>
  <si>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</si>
  <si>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</si>
  <si>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</si>
  <si>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</si>
  <si>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</si>
  <si>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</si>
  <si>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</si>
  <si>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</si>
  <si>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</si>
  <si>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</si>
  <si>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</si>
  <si>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</si>
  <si>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</si>
  <si>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</si>
  <si>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</si>
  <si>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</si>
  <si>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</si>
  <si>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</si>
  <si>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</si>
  <si>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</si>
  <si>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</si>
  <si>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</si>
  <si>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</si>
  <si>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</si>
  <si>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</si>
  <si>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</si>
  <si>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</si>
  <si>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</si>
  <si>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</si>
  <si>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</si>
  <si>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</si>
  <si>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</si>
  <si>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</si>
  <si>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</si>
  <si>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</si>
  <si>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</si>
  <si>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</si>
  <si>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</si>
  <si>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</si>
  <si>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</si>
  <si>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</si>
  <si>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</si>
  <si>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</si>
  <si>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</si>
  <si>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</si>
  <si>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</si>
  <si>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</si>
  <si>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</si>
  <si>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</si>
  <si>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</si>
  <si>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</si>
  <si>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</si>
  <si>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</si>
  <si>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</si>
  <si>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</si>
  <si>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</si>
  <si>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</si>
  <si>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</si>
  <si>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</si>
  <si>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</si>
  <si>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</si>
  <si>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</si>
  <si>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</si>
  <si>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</si>
  <si>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</si>
  <si>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</si>
  <si>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</si>
  <si>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</si>
  <si>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</si>
  <si>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</si>
  <si>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</si>
  <si>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</si>
  <si>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</si>
  <si>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</si>
  <si>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</si>
  <si>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</si>
  <si>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</si>
  <si>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</si>
  <si>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</si>
  <si>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</si>
  <si>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</si>
  <si>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</si>
  <si>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</si>
  <si>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</si>
  <si>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</si>
  <si>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</si>
  <si>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</si>
  <si>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</si>
  <si>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</si>
  <si>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</si>
  <si>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</si>
  <si>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</si>
  <si>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</si>
  <si>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</si>
  <si>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</si>
  <si>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</si>
  <si>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</si>
  <si>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</si>
  <si>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</si>
  <si>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</si>
  <si>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</si>
  <si>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</si>
  <si>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</si>
  <si>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</si>
  <si>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</si>
  <si>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</si>
  <si>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</si>
  <si>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</si>
  <si>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</si>
  <si>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</si>
  <si>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</si>
  <si>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</si>
  <si>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</si>
  <si>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</si>
  <si>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</si>
  <si>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</si>
  <si>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</si>
  <si>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</si>
  <si>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</si>
  <si>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</si>
  <si>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</si>
  <si>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</si>
  <si>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</si>
  <si>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</si>
  <si>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</si>
  <si>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</si>
  <si>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</si>
  <si>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</si>
  <si>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</si>
  <si>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</si>
  <si>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</si>
  <si>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</si>
  <si>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</si>
  <si>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</si>
  <si>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</si>
  <si>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</si>
  <si>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</si>
  <si>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</si>
  <si>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</si>
  <si>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</si>
  <si>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</si>
  <si>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</si>
  <si>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</si>
  <si>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</si>
  <si>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</si>
  <si>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</si>
  <si>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</si>
  <si>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</si>
  <si>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</si>
  <si>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</si>
  <si>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</si>
  <si>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</si>
  <si>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</si>
  <si>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</si>
  <si>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</si>
  <si>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</si>
  <si>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</si>
  <si>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</si>
  <si>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</si>
  <si>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</si>
  <si>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</si>
  <si>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</si>
  <si>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</si>
  <si>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</si>
  <si>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</si>
  <si>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</si>
  <si>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</si>
  <si>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</si>
  <si>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</si>
  <si>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</si>
  <si>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</si>
  <si>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</si>
  <si>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</si>
  <si>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</si>
  <si>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</si>
  <si>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</si>
  <si>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</si>
  <si>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</si>
  <si>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</si>
  <si>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</si>
  <si>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</si>
  <si>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</si>
  <si>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</si>
  <si>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</si>
  <si>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</si>
  <si>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</si>
  <si>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</si>
  <si>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</si>
  <si>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</si>
  <si>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</si>
  <si>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</si>
  <si>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</si>
  <si>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</si>
  <si>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</si>
  <si>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</si>
  <si>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</si>
  <si>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</si>
  <si>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</si>
  <si>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</si>
  <si>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</si>
  <si>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</si>
  <si>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</si>
  <si>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</si>
  <si>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</si>
  <si>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</si>
  <si>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</si>
  <si>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</si>
  <si>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</si>
  <si>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</si>
  <si>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</si>
  <si>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</si>
  <si>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</si>
  <si>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</si>
  <si>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</si>
  <si>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</si>
  <si>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</si>
  <si>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</si>
  <si>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</si>
  <si>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</si>
  <si>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</si>
  <si>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</si>
  <si>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</si>
  <si>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</si>
  <si>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</si>
  <si>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</si>
  <si>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</si>
  <si>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</si>
  <si>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</si>
  <si>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</si>
  <si>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</si>
  <si>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</si>
  <si>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</si>
  <si>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</si>
  <si>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</si>
  <si>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</si>
  <si>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</si>
  <si>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</si>
  <si>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</si>
  <si>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</si>
  <si>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</si>
  <si>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</si>
  <si>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</si>
  <si>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</si>
  <si>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</si>
  <si>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</si>
  <si>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</si>
  <si>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</si>
  <si>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</si>
  <si>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</si>
  <si>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</si>
  <si>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</si>
  <si>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</si>
  <si>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</si>
  <si>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</si>
  <si>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</si>
  <si>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</si>
  <si>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</si>
  <si>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</si>
  <si>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</si>
  <si>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</si>
  <si>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</si>
  <si>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</si>
  <si>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</si>
  <si>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</si>
  <si>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</si>
  <si>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</si>
  <si>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</si>
  <si>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</si>
  <si>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</si>
  <si>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</si>
  <si>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</si>
  <si>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</si>
  <si>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</si>
  <si>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</si>
  <si>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</si>
  <si>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</si>
  <si>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</si>
  <si>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</si>
  <si>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</si>
  <si>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</si>
  <si>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</si>
  <si>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</si>
  <si>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</si>
  <si>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</si>
  <si>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</si>
  <si>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</si>
  <si>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</si>
  <si>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</si>
  <si>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</si>
  <si>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</si>
  <si>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</si>
  <si>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</si>
  <si>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</si>
  <si>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</si>
  <si>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</si>
  <si>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</si>
  <si>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</si>
  <si>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</si>
  <si>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</si>
  <si>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</si>
  <si>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</si>
  <si>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</si>
  <si>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</si>
  <si>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</si>
  <si>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</si>
  <si>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</si>
  <si>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</si>
  <si>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</si>
  <si>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</si>
  <si>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</si>
  <si>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</si>
  <si>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</si>
  <si>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</si>
  <si>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</si>
  <si>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</si>
  <si>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</si>
  <si>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</si>
  <si>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</si>
  <si>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</si>
  <si>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</si>
  <si>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</si>
  <si>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</si>
  <si>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</si>
  <si>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</si>
  <si>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</si>
  <si>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</si>
  <si>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</si>
  <si>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</si>
  <si>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</si>
  <si>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</si>
  <si>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</si>
  <si>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</si>
  <si>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</si>
  <si>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</si>
  <si>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</si>
  <si>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</si>
  <si>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</si>
  <si>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</si>
  <si>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</si>
  <si>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</si>
  <si>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</si>
  <si>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</si>
  <si>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</si>
  <si>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</si>
  <si>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</si>
  <si>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</si>
  <si>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</si>
  <si>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</si>
  <si>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</si>
  <si>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</si>
  <si>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</si>
  <si>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</si>
  <si>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</si>
  <si>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</si>
  <si>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</si>
  <si>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</si>
  <si>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</si>
  <si>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</si>
  <si>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</si>
  <si>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</si>
  <si>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</si>
  <si>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</si>
  <si>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</si>
  <si>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</si>
  <si>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</si>
  <si>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</si>
  <si>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</si>
  <si>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</si>
  <si>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</si>
  <si>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</si>
  <si>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</si>
  <si>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</si>
  <si>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</si>
  <si>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</si>
  <si>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</si>
  <si>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</si>
  <si>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</si>
  <si>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</si>
  <si>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</si>
  <si>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</si>
  <si>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</si>
  <si>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</si>
  <si>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</si>
  <si>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</si>
  <si>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</si>
  <si>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</si>
  <si>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</si>
  <si>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</si>
  <si>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</si>
  <si>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</si>
  <si>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</si>
  <si>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</si>
  <si>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</si>
  <si>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</si>
  <si>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</si>
  <si>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</si>
  <si>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</si>
  <si>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</si>
  <si>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</si>
  <si>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</si>
  <si>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</si>
  <si>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</si>
  <si>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</si>
  <si>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</si>
  <si>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</si>
  <si>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</si>
  <si>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</si>
  <si>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</si>
  <si>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</si>
  <si>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</si>
  <si>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</si>
  <si>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</si>
  <si>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</si>
  <si>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</si>
  <si>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</si>
  <si>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</si>
  <si>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</si>
  <si>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</si>
  <si>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</si>
  <si>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</si>
  <si>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</si>
  <si>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</si>
  <si>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</si>
  <si>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</si>
  <si>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</si>
  <si>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</si>
  <si>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</si>
  <si>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</si>
  <si>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</si>
  <si>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</si>
  <si>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</si>
  <si>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</si>
  <si>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</si>
  <si>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</si>
  <si>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</si>
  <si>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</si>
  <si>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</si>
  <si>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</si>
  <si>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</si>
  <si>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</si>
  <si>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</si>
  <si>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</si>
  <si>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</si>
  <si>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</si>
  <si>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</si>
  <si>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</si>
  <si>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</si>
  <si>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</si>
  <si>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</si>
  <si>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</si>
  <si>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</si>
  <si>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</si>
  <si>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</si>
  <si>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</si>
  <si>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</si>
  <si>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</si>
  <si>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</si>
  <si>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</si>
  <si>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</si>
  <si>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</si>
  <si>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</si>
  <si>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</si>
  <si>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</si>
  <si>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</si>
  <si>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</si>
  <si>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</si>
  <si>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</si>
  <si>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</si>
  <si>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</si>
  <si>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</si>
  <si>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</si>
  <si>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</si>
  <si>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</si>
  <si>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</si>
  <si>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</si>
  <si>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</si>
  <si>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</si>
  <si>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</si>
  <si>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</si>
  <si>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</si>
  <si>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</si>
  <si>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</si>
  <si>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</si>
  <si>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</si>
  <si>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</si>
  <si>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</si>
  <si>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</si>
  <si>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</si>
  <si>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</si>
  <si>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</si>
  <si>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</si>
  <si>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</si>
  <si>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</si>
  <si>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</si>
  <si>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</si>
  <si>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</si>
  <si>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</si>
  <si>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</si>
  <si>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</si>
  <si>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</si>
  <si>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</si>
  <si>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</si>
  <si>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</si>
  <si>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</si>
  <si>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</si>
  <si>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</si>
  <si>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</si>
  <si>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</si>
  <si>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</si>
  <si>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</si>
  <si>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</si>
  <si>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</si>
  <si>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</si>
  <si>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</si>
  <si>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</si>
  <si>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</si>
  <si>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</si>
  <si>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</si>
  <si>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</si>
  <si>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</si>
  <si>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</si>
  <si>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</si>
  <si>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</si>
  <si>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</si>
  <si>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</si>
  <si>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</si>
  <si>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</si>
  <si>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</si>
  <si>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</si>
  <si>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</si>
  <si>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</si>
  <si>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</si>
  <si>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</si>
  <si>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</si>
  <si>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</si>
  <si>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</si>
  <si>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</si>
  <si>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</si>
  <si>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</si>
  <si>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</si>
  <si>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</si>
  <si>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</si>
  <si>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</si>
  <si>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</si>
  <si>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</si>
  <si>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</si>
  <si>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</si>
  <si>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</si>
  <si>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</si>
  <si>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</si>
  <si>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</si>
  <si>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</si>
  <si>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</si>
  <si>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</si>
  <si>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</si>
  <si>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</si>
  <si>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</si>
  <si>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</si>
  <si>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</si>
  <si>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</si>
  <si>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</si>
  <si>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</si>
  <si>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</si>
  <si>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</si>
  <si>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</si>
  <si>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</si>
  <si>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</si>
  <si>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</si>
  <si>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</si>
  <si>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</si>
  <si>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</si>
  <si>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</si>
  <si>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</si>
  <si>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</si>
  <si>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</si>
  <si>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</si>
  <si>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</si>
  <si>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</si>
  <si>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</si>
  <si>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</si>
  <si>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</si>
  <si>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</si>
  <si>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</si>
  <si>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</si>
  <si>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</si>
  <si>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</si>
  <si>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</si>
  <si>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</si>
  <si>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</si>
  <si>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</si>
  <si>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</si>
  <si>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</si>
  <si>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</si>
  <si>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</si>
  <si>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</si>
  <si>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</si>
  <si>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</si>
  <si>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</si>
  <si>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</si>
  <si>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</si>
  <si>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</si>
  <si>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</si>
  <si>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</si>
  <si>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</si>
  <si>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</si>
  <si>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</si>
  <si>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</si>
  <si>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</si>
  <si>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</si>
  <si>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</si>
  <si>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</si>
  <si>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</si>
  <si>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</si>
  <si>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</si>
  <si>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</si>
  <si>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</si>
  <si>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</si>
  <si>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</si>
  <si>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</si>
  <si>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</si>
  <si>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</si>
  <si>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</si>
  <si>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</si>
  <si>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</si>
  <si>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</si>
  <si>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</si>
  <si>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</si>
  <si>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</si>
  <si>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</si>
  <si>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</si>
  <si>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</si>
  <si>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</si>
  <si>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</si>
  <si>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</si>
  <si>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</si>
  <si>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</si>
  <si>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</si>
  <si>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</si>
  <si>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</si>
  <si>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</si>
  <si>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</si>
  <si>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</si>
  <si>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</si>
  <si>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</si>
  <si>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</si>
  <si>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</si>
  <si>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</si>
  <si>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</si>
  <si>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</si>
  <si>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</si>
  <si>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</si>
  <si>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</si>
  <si>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</si>
  <si>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</si>
  <si>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</si>
  <si>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</si>
  <si>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</si>
  <si>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</si>
  <si>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</si>
  <si>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</si>
  <si>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</si>
  <si>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</si>
  <si>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</si>
  <si>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</si>
  <si>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</si>
  <si>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</si>
  <si>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</si>
  <si>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</si>
  <si>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</si>
  <si>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</si>
  <si>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</si>
  <si>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</si>
  <si>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</si>
  <si>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</si>
  <si>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</si>
  <si>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</si>
  <si>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</si>
  <si>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</si>
  <si>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</si>
  <si>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</si>
  <si>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</si>
  <si>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</si>
  <si>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</si>
  <si>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</si>
  <si>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</si>
  <si>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</si>
  <si>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</si>
  <si>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</si>
  <si>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</si>
  <si>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</si>
  <si>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</si>
  <si>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</si>
  <si>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</si>
  <si>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</si>
  <si>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</si>
  <si>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</si>
  <si>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</si>
  <si>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</si>
  <si>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</si>
  <si>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</si>
  <si>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</si>
  <si>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</si>
  <si>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</si>
  <si>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</si>
  <si>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</si>
  <si>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</si>
  <si>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</si>
  <si>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</si>
  <si>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</si>
  <si>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</si>
  <si>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</si>
  <si>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</si>
  <si>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</si>
  <si>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</si>
  <si>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</si>
  <si>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</si>
  <si>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</si>
  <si>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</si>
  <si>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</si>
  <si>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</si>
  <si>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</si>
  <si>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</si>
  <si>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</si>
  <si>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</si>
  <si>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</si>
  <si>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</si>
  <si>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</si>
  <si>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</si>
  <si>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</si>
  <si>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</si>
  <si>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</si>
  <si>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</si>
  <si>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</si>
  <si>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</si>
  <si>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</si>
  <si>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</si>
  <si>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</si>
  <si>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</si>
  <si>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</si>
  <si>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</si>
  <si>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</si>
  <si>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</si>
  <si>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</si>
  <si>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</si>
  <si>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</si>
  <si>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</si>
  <si>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</si>
  <si>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</si>
  <si>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</si>
  <si>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</si>
  <si>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</si>
  <si>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</si>
  <si>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</si>
  <si>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</si>
  <si>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</si>
  <si>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</si>
  <si>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</si>
  <si>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</si>
  <si>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</si>
  <si>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</si>
  <si>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</si>
  <si>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</si>
  <si>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</si>
  <si>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</si>
  <si>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</si>
  <si>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</si>
  <si>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</si>
  <si>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</si>
  <si>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</si>
  <si>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</si>
  <si>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</si>
  <si>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</si>
  <si>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</si>
  <si>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</si>
  <si>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</si>
  <si>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</si>
  <si>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</si>
  <si>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</si>
  <si>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</si>
  <si>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</si>
  <si>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</si>
  <si>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</si>
  <si>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</si>
  <si>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</si>
  <si>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</si>
  <si>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</si>
  <si>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</si>
  <si>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</si>
  <si>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</si>
  <si>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</si>
  <si>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</si>
  <si>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</si>
  <si>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</si>
  <si>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</si>
  <si>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</si>
  <si>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</si>
  <si>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</si>
  <si>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</si>
  <si>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</si>
  <si>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</si>
  <si>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</si>
  <si>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</si>
  <si>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</si>
  <si>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</si>
  <si>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</si>
  <si>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</si>
  <si>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</si>
  <si>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</si>
  <si>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</si>
  <si>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</si>
  <si>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</si>
  <si>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</si>
  <si>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</si>
  <si>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</si>
  <si>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</si>
  <si>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</si>
  <si>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</si>
  <si>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</si>
  <si>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</si>
  <si>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</si>
  <si>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</si>
  <si>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</si>
  <si>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</si>
  <si>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</si>
  <si>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</si>
  <si>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</si>
  <si>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</si>
  <si>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</si>
  <si>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</si>
  <si>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</si>
  <si>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</si>
  <si>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</si>
  <si>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</si>
  <si>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</si>
  <si>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</si>
  <si>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</si>
  <si>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</si>
  <si>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</si>
  <si>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</si>
  <si>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</si>
  <si>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</si>
  <si>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</si>
  <si>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</si>
  <si>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</si>
  <si>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</si>
  <si>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</si>
  <si>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</si>
  <si>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</si>
  <si>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</si>
  <si>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</si>
  <si>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</si>
  <si>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</si>
  <si>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</si>
  <si>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</si>
  <si>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</si>
  <si>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</si>
  <si>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</si>
  <si>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</si>
  <si>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</si>
  <si>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</si>
  <si>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</si>
  <si>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</si>
  <si>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</si>
  <si>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</si>
  <si>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</si>
  <si>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</si>
  <si>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</si>
  <si>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</si>
  <si>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</si>
  <si>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</si>
  <si>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</si>
  <si>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</si>
  <si>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</si>
  <si>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</si>
  <si>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</si>
  <si>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</si>
  <si>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</si>
  <si>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</si>
  <si>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</si>
  <si>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</si>
  <si>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</si>
  <si>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</si>
  <si>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</si>
  <si>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</si>
  <si>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</si>
  <si>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</si>
  <si>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</si>
  <si>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</si>
  <si>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</si>
  <si>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</si>
  <si>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</si>
  <si>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</si>
  <si>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</si>
  <si>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</si>
  <si>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</si>
  <si>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</si>
  <si>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</si>
  <si>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</si>
  <si>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</si>
  <si>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</si>
  <si>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</si>
  <si>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</si>
  <si>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</si>
  <si>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</si>
  <si>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</si>
  <si>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</si>
  <si>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</si>
  <si>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</si>
  <si>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</si>
  <si>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</si>
  <si>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</si>
  <si>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</si>
  <si>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</si>
  <si>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</si>
  <si>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</si>
  <si>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</si>
  <si>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</si>
  <si>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</si>
  <si>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</si>
  <si>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</si>
  <si>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</si>
  <si>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</si>
  <si>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</si>
  <si>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</si>
  <si>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</si>
  <si>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</si>
  <si>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</si>
  <si>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</si>
  <si>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</si>
  <si>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</si>
  <si>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</si>
  <si>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</si>
  <si>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</si>
  <si>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</si>
  <si>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</si>
  <si>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</si>
  <si>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</si>
  <si>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</si>
  <si>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</si>
  <si>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</si>
  <si>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</si>
  <si>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</si>
  <si>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</si>
  <si>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</si>
  <si>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</si>
  <si>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</si>
  <si>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</si>
  <si>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</si>
  <si>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</si>
  <si>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</si>
  <si>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</si>
  <si>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</si>
  <si>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</si>
  <si>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</si>
  <si>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</si>
  <si>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</si>
  <si>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</si>
  <si>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</si>
  <si>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</si>
  <si>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</si>
  <si>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</si>
  <si>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</si>
  <si>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</si>
  <si>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</si>
  <si>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</si>
  <si>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</si>
  <si>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</si>
  <si>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</si>
  <si>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</si>
  <si>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</si>
  <si>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</si>
  <si>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</si>
  <si>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</si>
  <si>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</si>
  <si>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</si>
  <si>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</si>
  <si>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</si>
  <si>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</si>
  <si>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</si>
  <si>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</si>
  <si>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</si>
  <si>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</si>
  <si>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</si>
  <si>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</si>
  <si>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</si>
  <si>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</si>
  <si>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</si>
  <si>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</si>
  <si>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</si>
  <si>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</si>
  <si>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</si>
  <si>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</si>
  <si>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</si>
  <si>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</si>
  <si>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</si>
  <si>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</si>
  <si>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</si>
  <si>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</si>
  <si>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</si>
  <si>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</si>
  <si>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</si>
  <si>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</si>
  <si>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</si>
  <si>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</si>
  <si>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</si>
  <si>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</si>
  <si>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</si>
  <si>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</si>
  <si>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</si>
  <si>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</si>
  <si>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</si>
  <si>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</si>
  <si>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</si>
  <si>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</si>
  <si>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</si>
  <si>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</si>
  <si>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</si>
  <si>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</si>
  <si>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</si>
  <si>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</si>
  <si>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</si>
  <si>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</si>
  <si>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</si>
  <si>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</si>
  <si>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</si>
  <si>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</si>
  <si>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</si>
  <si>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</si>
  <si>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</si>
  <si>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</si>
  <si>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</si>
  <si>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</si>
  <si>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</si>
  <si>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</si>
  <si>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</si>
  <si>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</si>
  <si>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</si>
  <si>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</si>
  <si>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</si>
  <si>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</si>
  <si>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</si>
  <si>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</si>
  <si>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</si>
  <si>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</si>
  <si>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</si>
  <si>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</si>
  <si>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</si>
  <si>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</si>
  <si>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</si>
  <si>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</si>
  <si>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</si>
  <si>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</si>
  <si>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</si>
  <si>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</si>
  <si>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</si>
  <si>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</si>
  <si>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</si>
  <si>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</si>
  <si>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</si>
  <si>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</si>
  <si>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</si>
  <si>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</si>
  <si>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</si>
  <si>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</si>
  <si>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</si>
  <si>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</si>
  <si>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</si>
  <si>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</si>
  <si>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</si>
  <si>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</si>
  <si>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</si>
  <si>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</si>
  <si>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</si>
  <si>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</si>
  <si>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</si>
  <si>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</si>
  <si>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</si>
  <si>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</si>
  <si>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</si>
  <si>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</si>
  <si>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</si>
  <si>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</si>
  <si>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</si>
  <si>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</si>
  <si>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</si>
  <si>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</si>
  <si>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</si>
  <si>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</si>
  <si>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</si>
  <si>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</si>
  <si>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</si>
  <si>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</si>
  <si>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</si>
  <si>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</si>
  <si>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</si>
  <si>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</si>
  <si>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</si>
  <si>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</si>
  <si>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</si>
  <si>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</si>
  <si>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</si>
  <si>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</si>
  <si>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</si>
  <si>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</si>
  <si>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</si>
  <si>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</si>
  <si>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</si>
  <si>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</si>
  <si>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</si>
  <si>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</si>
  <si>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</si>
  <si>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</si>
  <si>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</si>
  <si>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</si>
  <si>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</si>
  <si>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</si>
  <si>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</si>
  <si>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</si>
  <si>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</si>
  <si>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</si>
  <si>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</si>
  <si>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</si>
  <si>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</si>
  <si>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</si>
  <si>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</si>
  <si>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</si>
  <si>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</si>
  <si>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</si>
  <si>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</si>
  <si>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</si>
  <si>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</si>
  <si>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</si>
  <si>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</si>
  <si>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</si>
  <si>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</si>
  <si>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</si>
  <si>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</si>
  <si>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</si>
  <si>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</si>
  <si>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</si>
  <si>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</si>
  <si>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</si>
  <si>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</si>
  <si>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</si>
  <si>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</si>
  <si>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</si>
  <si>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</si>
  <si>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</si>
  <si>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</si>
  <si>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</si>
  <si>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</si>
  <si>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</si>
  <si>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</si>
  <si>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</si>
  <si>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</si>
  <si>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</si>
  <si>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</si>
  <si>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</si>
  <si>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</si>
  <si>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</si>
  <si>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</si>
  <si>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</si>
  <si>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</si>
  <si>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</si>
  <si>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</si>
  <si>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</si>
  <si>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</si>
  <si>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</si>
  <si>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</si>
  <si>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</si>
  <si>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</si>
  <si>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</si>
  <si>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</si>
  <si>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</si>
  <si>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</si>
  <si>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</si>
  <si>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</si>
  <si>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</si>
  <si>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</si>
  <si>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</si>
  <si>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</si>
  <si>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</si>
  <si>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</si>
  <si>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</si>
  <si>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</si>
  <si>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</si>
  <si>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</si>
  <si>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</si>
  <si>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</si>
  <si>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</si>
  <si>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</si>
  <si>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</si>
  <si>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</si>
  <si>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</si>
  <si>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</si>
  <si>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</si>
  <si>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</si>
  <si>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</si>
  <si>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</si>
  <si>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</si>
  <si>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</si>
  <si>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</si>
  <si>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</si>
  <si>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</si>
  <si>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</si>
  <si>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</si>
  <si>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</si>
  <si>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</si>
  <si>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</si>
  <si>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</si>
  <si>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</si>
  <si>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</si>
  <si>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</si>
  <si>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</si>
  <si>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</si>
  <si>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</si>
  <si>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</si>
  <si>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</si>
  <si>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</si>
  <si>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</si>
  <si>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</si>
  <si>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</si>
  <si>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</si>
  <si>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</si>
  <si>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</si>
  <si>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</si>
  <si>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</si>
  <si>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</si>
  <si>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</si>
  <si>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</si>
  <si>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</si>
  <si>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</si>
  <si>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</si>
  <si>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</si>
  <si>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</si>
  <si>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</si>
  <si>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</si>
  <si>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</si>
  <si>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</si>
  <si>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</si>
  <si>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</si>
  <si>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</si>
  <si>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</si>
  <si>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</si>
  <si>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</si>
  <si>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</si>
  <si>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</si>
  <si>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</si>
  <si>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</si>
  <si>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</si>
  <si>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</si>
  <si>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</si>
  <si>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</si>
  <si>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</si>
  <si>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</si>
  <si>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</si>
  <si>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</si>
  <si>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</si>
  <si>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</si>
  <si>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</si>
  <si>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</si>
  <si>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</si>
  <si>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</si>
  <si>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</si>
  <si>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</si>
  <si>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</si>
  <si>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</si>
  <si>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</si>
  <si>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</si>
  <si>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</si>
  <si>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</si>
  <si>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</si>
  <si>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</si>
  <si>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</si>
  <si>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</si>
  <si>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</si>
  <si>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</si>
  <si>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</si>
  <si>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</si>
  <si>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</si>
  <si>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</si>
  <si>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</si>
  <si>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</si>
  <si>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</si>
  <si>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</si>
  <si>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</si>
  <si>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</si>
  <si>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</si>
  <si>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</si>
  <si>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</si>
  <si>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</si>
  <si>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</si>
  <si>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</si>
  <si>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</si>
  <si>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</si>
  <si>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</si>
  <si>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</si>
  <si>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</si>
  <si>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</si>
  <si>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</si>
  <si>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</si>
  <si>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</si>
  <si>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</si>
  <si>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</si>
  <si>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</si>
  <si>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</si>
  <si>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</si>
  <si>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</si>
  <si>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</si>
  <si>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</si>
  <si>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</si>
  <si>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</si>
  <si>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</si>
  <si>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</si>
  <si>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</si>
  <si>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</si>
  <si>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</si>
  <si>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</si>
  <si>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</si>
  <si>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</si>
  <si>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</si>
  <si>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</si>
  <si>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</si>
  <si>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</si>
  <si>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</si>
  <si>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</si>
  <si>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</si>
  <si>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</si>
  <si>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</si>
  <si>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</si>
  <si>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</si>
  <si>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</si>
  <si>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</si>
  <si>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</si>
  <si>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</si>
  <si>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</si>
  <si>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</si>
  <si>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</si>
  <si>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</si>
  <si>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</si>
  <si>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</si>
  <si>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</si>
  <si>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</si>
  <si>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</si>
  <si>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</si>
  <si>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</si>
  <si>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</si>
  <si>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</si>
  <si>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</si>
  <si>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</si>
  <si>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</si>
  <si>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</si>
  <si>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</si>
  <si>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</si>
  <si>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</si>
  <si>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</si>
  <si>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</si>
  <si>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</si>
  <si>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</si>
  <si>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</si>
  <si>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</si>
  <si>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</si>
  <si>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</si>
  <si>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</si>
  <si>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</si>
  <si>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</si>
  <si>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</si>
  <si>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</si>
  <si>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</si>
  <si>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</si>
  <si>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</si>
  <si>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</si>
  <si>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</si>
  <si>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</si>
  <si>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</si>
  <si>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</si>
  <si>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</si>
  <si>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</si>
  <si>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</si>
  <si>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</si>
  <si>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</si>
  <si>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</si>
  <si>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</si>
  <si>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</si>
  <si>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</si>
  <si>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</si>
  <si>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</si>
  <si>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</si>
  <si>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</si>
  <si>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</si>
  <si>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</si>
  <si>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</si>
  <si>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</si>
  <si>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</si>
  <si>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</si>
  <si>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</si>
  <si>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</si>
  <si>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</si>
  <si>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</si>
  <si>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</si>
  <si>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</si>
  <si>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</si>
  <si>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</si>
  <si>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</si>
  <si>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</si>
  <si>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</si>
  <si>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</si>
  <si>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</si>
  <si>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</si>
  <si>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</si>
  <si>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</si>
  <si>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</si>
  <si>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</si>
  <si>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</si>
  <si>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</si>
  <si>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</si>
  <si>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</si>
  <si>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</si>
  <si>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</si>
  <si>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</si>
  <si>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</si>
  <si>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</si>
  <si>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</si>
  <si>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</si>
  <si>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</si>
  <si>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</si>
  <si>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</si>
  <si>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</si>
  <si>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</si>
  <si>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</si>
  <si>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</si>
  <si>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</si>
  <si>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</si>
  <si>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</si>
  <si>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</si>
  <si>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</si>
  <si>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</si>
  <si>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</si>
  <si>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</si>
  <si>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</si>
  <si>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</si>
  <si>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</si>
  <si>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</si>
  <si>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</si>
  <si>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</si>
  <si>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</si>
  <si>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</si>
  <si>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</si>
  <si>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</si>
  <si>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</si>
  <si>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</si>
  <si>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</si>
  <si>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</si>
  <si>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</si>
  <si>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</si>
  <si>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</si>
  <si>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</si>
  <si>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</si>
  <si>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</si>
  <si>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</si>
  <si>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</si>
  <si>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</si>
  <si>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</si>
  <si>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</si>
  <si>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</si>
  <si>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</si>
  <si>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</si>
  <si>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</si>
  <si>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</si>
  <si>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</si>
  <si>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</si>
  <si>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</si>
  <si>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</si>
  <si>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</si>
  <si>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</si>
  <si>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</si>
  <si>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</si>
  <si>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</si>
  <si>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</si>
  <si>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</si>
  <si>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</si>
  <si>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</si>
  <si>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</si>
  <si>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</si>
  <si>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</si>
  <si>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</si>
  <si>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</si>
  <si>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</si>
  <si>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</si>
  <si>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</si>
  <si>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</si>
  <si>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</si>
  <si>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</si>
  <si>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</si>
  <si>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</si>
  <si>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</si>
  <si>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</si>
  <si>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</si>
  <si>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</si>
  <si>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</si>
  <si>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</si>
  <si>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</si>
  <si>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</si>
  <si>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</si>
  <si>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</si>
  <si>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</si>
  <si>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</si>
  <si>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</si>
  <si>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</si>
  <si>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</si>
  <si>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</si>
  <si>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</si>
  <si>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</si>
  <si>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</si>
  <si>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</si>
  <si>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</si>
  <si>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</si>
  <si>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</si>
  <si>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</si>
  <si>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</si>
  <si>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</si>
  <si>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</si>
  <si>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</si>
  <si>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</si>
  <si>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</si>
  <si>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</si>
  <si>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</si>
  <si>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</si>
  <si>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</si>
  <si>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</si>
  <si>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</si>
  <si>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</si>
  <si>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</si>
  <si>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</si>
  <si>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</si>
  <si>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</si>
  <si>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</si>
  <si>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</si>
  <si>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</si>
  <si>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</si>
  <si>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</si>
  <si>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</si>
  <si>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</si>
  <si>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</si>
  <si>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</si>
  <si>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</si>
  <si>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</si>
  <si>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</si>
  <si>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</si>
  <si>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</si>
  <si>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</si>
  <si>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</si>
  <si>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</si>
  <si>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</si>
  <si>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</si>
  <si>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</si>
  <si>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</si>
  <si>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</si>
  <si>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</si>
  <si>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</si>
  <si>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</si>
  <si>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</si>
  <si>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</si>
  <si>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</si>
  <si>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</si>
  <si>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</si>
  <si>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</si>
  <si>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</si>
  <si>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</si>
  <si>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</si>
  <si>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</si>
  <si>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</si>
  <si>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</si>
  <si>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</si>
  <si>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</si>
  <si>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</si>
  <si>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</si>
  <si>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</si>
  <si>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</si>
  <si>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</si>
  <si>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</si>
  <si>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</si>
  <si>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</si>
  <si>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</si>
  <si>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</si>
  <si>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</si>
  <si>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</si>
  <si>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</si>
  <si>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</si>
  <si>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</si>
  <si>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</si>
  <si>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</si>
  <si>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</si>
  <si>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</si>
  <si>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</si>
  <si>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</si>
  <si>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</si>
  <si>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</si>
  <si>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</si>
  <si>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</si>
  <si>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</si>
  <si>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</si>
  <si>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</si>
  <si>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</si>
  <si>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</si>
  <si>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</si>
  <si>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</si>
  <si>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</si>
  <si>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</si>
  <si>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</si>
  <si>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</si>
  <si>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</si>
  <si>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</si>
  <si>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</si>
  <si>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</si>
  <si>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</si>
  <si>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</si>
  <si>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</si>
  <si>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</si>
  <si>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</si>
  <si>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</si>
  <si>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</si>
  <si>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</si>
  <si>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</si>
  <si>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</si>
  <si>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</si>
  <si>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</si>
  <si>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</si>
  <si>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</si>
  <si>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</si>
  <si>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</si>
  <si>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</si>
  <si>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</si>
  <si>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</si>
  <si>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</si>
  <si>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</si>
  <si>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</si>
  <si>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</si>
  <si>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</si>
  <si>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</si>
  <si>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</si>
  <si>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</si>
  <si>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</si>
  <si>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</si>
  <si>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</si>
  <si>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</si>
  <si>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</si>
  <si>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</si>
  <si>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</si>
  <si>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</si>
  <si>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</si>
  <si>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</si>
  <si>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</si>
  <si>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</si>
  <si>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</si>
  <si>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</si>
  <si>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</si>
  <si>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</si>
  <si>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</si>
  <si>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</si>
  <si>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</si>
  <si>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</si>
  <si>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</si>
  <si>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</si>
  <si>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</si>
  <si>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</si>
  <si>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</si>
  <si>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</si>
  <si>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</si>
  <si>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</si>
  <si>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</si>
  <si>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</si>
  <si>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</si>
  <si>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</si>
  <si>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</si>
  <si>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</si>
  <si>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</si>
  <si>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</si>
  <si>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</si>
  <si>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</si>
  <si>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</si>
  <si>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</si>
  <si>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</si>
  <si>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</si>
  <si>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</si>
  <si>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</si>
  <si>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</si>
  <si>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</si>
  <si>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</si>
  <si>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</si>
  <si>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</si>
  <si>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</si>
  <si>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</si>
  <si>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</si>
  <si>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</si>
  <si>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</si>
  <si>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</si>
  <si>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</si>
  <si>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</si>
  <si>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</si>
  <si>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</si>
  <si>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</si>
  <si>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</si>
  <si>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</si>
  <si>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</si>
  <si>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</si>
  <si>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</si>
  <si>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</si>
  <si>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</si>
  <si>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</si>
  <si>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</si>
  <si>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</si>
  <si>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</si>
  <si>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</si>
  <si>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</si>
  <si>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</si>
  <si>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</si>
  <si>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</si>
  <si>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</si>
  <si>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</si>
  <si>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</si>
  <si>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</si>
  <si>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</si>
  <si>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</si>
  <si>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</si>
  <si>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</si>
  <si>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</si>
  <si>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</si>
  <si>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</si>
  <si>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</si>
  <si>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</si>
  <si>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</si>
  <si>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</si>
  <si>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</si>
  <si>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</si>
  <si>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</si>
  <si>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</si>
  <si>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</si>
  <si>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</si>
  <si>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</si>
  <si>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</si>
  <si>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</si>
  <si>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</si>
  <si>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</si>
  <si>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</si>
  <si>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</si>
  <si>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</si>
  <si>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</si>
  <si>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</si>
  <si>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</si>
  <si>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</si>
  <si>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</si>
  <si>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</si>
  <si>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</si>
  <si>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</si>
  <si>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</si>
  <si>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</si>
  <si>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</si>
  <si>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</si>
  <si>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</si>
  <si>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</si>
  <si>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</si>
  <si>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</si>
  <si>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</si>
  <si>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</si>
  <si>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</si>
  <si>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</si>
  <si>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</si>
  <si>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</si>
  <si>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</si>
  <si>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</si>
  <si>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</si>
  <si>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</si>
  <si>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</si>
  <si>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</si>
  <si>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</si>
  <si>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</si>
  <si>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</si>
  <si>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</si>
  <si>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</si>
  <si>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</si>
  <si>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</si>
  <si>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</si>
  <si>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</si>
  <si>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</si>
  <si>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</si>
  <si>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</si>
  <si>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</si>
  <si>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</si>
  <si>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</si>
  <si>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</si>
  <si>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</si>
  <si>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</si>
  <si>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</si>
  <si>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</si>
  <si>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</si>
  <si>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</si>
  <si>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</si>
  <si>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</si>
  <si>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</si>
  <si>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</si>
  <si>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</si>
  <si>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</si>
  <si>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</si>
  <si>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</si>
  <si>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</si>
  <si>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</si>
  <si>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</si>
  <si>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</si>
  <si>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</si>
  <si>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</si>
  <si>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</si>
  <si>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</si>
  <si>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</si>
  <si>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</si>
  <si>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</si>
  <si>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</si>
  <si>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</si>
  <si>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</si>
  <si>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</si>
  <si>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</si>
  <si>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</si>
  <si>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</si>
  <si>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</si>
  <si>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</si>
  <si>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</si>
  <si>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</si>
  <si>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</si>
  <si>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</si>
  <si>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</si>
  <si>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</si>
  <si>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</si>
  <si>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</si>
  <si>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</si>
  <si>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</si>
  <si>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</si>
  <si>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</si>
  <si>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</si>
  <si>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</si>
  <si>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</si>
  <si>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</si>
  <si>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</si>
  <si>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</si>
  <si>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</si>
  <si>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</si>
  <si>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</si>
  <si>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</si>
  <si>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</si>
  <si>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</si>
  <si>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</si>
  <si>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</si>
  <si>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</si>
  <si>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</si>
  <si>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</si>
  <si>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</si>
  <si>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</si>
  <si>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</si>
  <si>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</si>
  <si>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</si>
  <si>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</si>
  <si>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</si>
  <si>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</si>
  <si>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</si>
  <si>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</si>
  <si>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</si>
  <si>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</si>
  <si>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</si>
  <si>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</si>
  <si>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</si>
  <si>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</si>
  <si>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</si>
  <si>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</si>
  <si>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</si>
  <si>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</si>
  <si>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</si>
  <si>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</si>
  <si>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</si>
  <si>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</si>
  <si>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</si>
  <si>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</si>
  <si>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</si>
  <si>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</si>
  <si>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</si>
  <si>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</si>
  <si>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</si>
  <si>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</si>
  <si>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</si>
  <si>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</si>
  <si>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</si>
  <si>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</si>
  <si>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</si>
  <si>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</si>
  <si>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</si>
  <si>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</si>
  <si>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</si>
  <si>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</si>
  <si>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</si>
  <si>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</si>
  <si>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</si>
  <si>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</si>
  <si>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</si>
  <si>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</si>
  <si>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</si>
  <si>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</si>
  <si>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</si>
  <si>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</si>
  <si>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</si>
  <si>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</si>
  <si>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</si>
  <si>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</si>
  <si>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</si>
  <si>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</si>
  <si>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</si>
  <si>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</si>
  <si>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</si>
  <si>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</si>
  <si>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</si>
  <si>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</si>
  <si>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</si>
  <si>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</si>
  <si>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</si>
  <si>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</si>
  <si>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</si>
  <si>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</si>
  <si>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</si>
  <si>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</si>
  <si>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</si>
  <si>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</si>
  <si>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</si>
  <si>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</si>
  <si>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</si>
  <si>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</si>
  <si>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</si>
  <si>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</si>
  <si>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</si>
  <si>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</si>
  <si>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</si>
  <si>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</si>
  <si>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</si>
  <si>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</si>
  <si>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</si>
  <si>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</si>
  <si>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</si>
  <si>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</si>
  <si>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</si>
  <si>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</si>
  <si>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</si>
  <si>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</si>
  <si>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</si>
  <si>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</si>
  <si>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</si>
  <si>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</si>
  <si>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</si>
  <si>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</si>
  <si>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</si>
  <si>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</si>
  <si>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</si>
  <si>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</si>
  <si>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</si>
  <si>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</si>
  <si>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</si>
  <si>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</si>
  <si>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</si>
  <si>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</si>
  <si>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</si>
  <si>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</si>
  <si>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</si>
  <si>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</si>
  <si>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</si>
  <si>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</si>
  <si>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</si>
  <si>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</si>
  <si>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</si>
  <si>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</si>
  <si>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</si>
  <si>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</si>
  <si>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</si>
  <si>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</si>
  <si>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</si>
  <si>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</si>
  <si>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</si>
  <si>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</si>
  <si>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</si>
  <si>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</si>
  <si>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</si>
  <si>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</si>
  <si>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</si>
  <si>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</si>
  <si>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</si>
  <si>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</si>
  <si>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</si>
  <si>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</si>
  <si>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</si>
  <si>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</si>
  <si>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</si>
  <si>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</si>
  <si>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</si>
  <si>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</si>
  <si>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</si>
  <si>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</si>
  <si>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</si>
  <si>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</si>
  <si>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</si>
  <si>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</si>
  <si>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</si>
  <si>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</si>
  <si>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</si>
  <si>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</si>
  <si>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</si>
  <si>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</si>
  <si>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</si>
  <si>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</si>
  <si>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</si>
  <si>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</si>
  <si>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</si>
  <si>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</si>
  <si>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</si>
  <si>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</si>
  <si>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</si>
  <si>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</si>
  <si>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</si>
  <si>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</si>
  <si>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</si>
  <si>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</si>
  <si>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</si>
  <si>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</si>
  <si>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</si>
  <si>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</si>
  <si>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</si>
  <si>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</si>
  <si>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</si>
  <si>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</si>
  <si>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</si>
  <si>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</si>
  <si>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</si>
  <si>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</si>
  <si>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</si>
  <si>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</si>
  <si>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</si>
  <si>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</si>
  <si>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</si>
  <si>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</si>
  <si>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</si>
  <si>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</si>
  <si>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</si>
  <si>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</si>
  <si>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</si>
  <si>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</si>
  <si>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</si>
  <si>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</si>
  <si>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</si>
  <si>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</si>
  <si>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</si>
  <si>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</si>
  <si>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</si>
  <si>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</si>
  <si>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</si>
  <si>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</si>
  <si>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</si>
  <si>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</si>
  <si>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</si>
  <si>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</si>
  <si>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</si>
  <si>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</si>
  <si>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</si>
  <si>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</si>
  <si>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</si>
  <si>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</si>
  <si>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</si>
  <si>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</si>
  <si>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</si>
  <si>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</si>
  <si>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</si>
  <si>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</si>
  <si>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</si>
  <si>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</si>
  <si>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</si>
  <si>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</si>
  <si>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</si>
  <si>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</si>
  <si>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</si>
  <si>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</si>
  <si>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</si>
  <si>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</si>
  <si>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</si>
  <si>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</si>
  <si>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</si>
  <si>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</si>
  <si>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</si>
  <si>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</si>
  <si>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</si>
  <si>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</si>
  <si>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</si>
  <si>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</si>
  <si>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</si>
  <si>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</si>
  <si>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</si>
  <si>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</si>
  <si>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</si>
  <si>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</si>
  <si>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</si>
  <si>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</si>
  <si>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</si>
  <si>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</si>
  <si>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</si>
  <si>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</si>
  <si>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</si>
  <si>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</si>
  <si>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</si>
  <si>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</si>
  <si>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</si>
  <si>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</si>
  <si>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</si>
  <si>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</si>
  <si>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</si>
  <si>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</si>
  <si>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</si>
  <si>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</si>
  <si>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</si>
  <si>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</si>
  <si>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</si>
  <si>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</si>
  <si>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</si>
  <si>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</si>
  <si>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</si>
  <si>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</si>
  <si>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</si>
  <si>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</si>
  <si>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</si>
  <si>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</si>
  <si>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</si>
  <si>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</si>
  <si>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</si>
  <si>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</si>
  <si>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</si>
  <si>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</si>
  <si>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</si>
  <si>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</si>
  <si>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</si>
  <si>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</si>
  <si>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</si>
  <si>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</si>
  <si>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</si>
  <si>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</si>
  <si>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</si>
  <si>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</si>
  <si>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</si>
  <si>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</si>
  <si>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</si>
  <si>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</si>
  <si>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</si>
  <si>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</si>
  <si>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</si>
  <si>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</si>
  <si>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</si>
  <si>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</si>
  <si>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</si>
  <si>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</si>
  <si>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</si>
  <si>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</si>
  <si>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</si>
  <si>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</si>
  <si>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</si>
  <si>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</si>
  <si>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</si>
  <si>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</si>
  <si>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</si>
  <si>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</si>
  <si>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</si>
  <si>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</si>
  <si>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</si>
  <si>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</si>
  <si>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</si>
  <si>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</si>
  <si>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</si>
  <si>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</si>
  <si>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</si>
  <si>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</si>
  <si>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</si>
  <si>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</si>
  <si>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</si>
  <si>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</si>
  <si>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</si>
  <si>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</si>
  <si>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</si>
  <si>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</si>
  <si>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</si>
  <si>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</si>
  <si>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</si>
  <si>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</si>
  <si>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</si>
  <si>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</si>
  <si>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</si>
  <si>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</si>
  <si>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</si>
  <si>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</si>
  <si>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</si>
  <si>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</si>
  <si>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</si>
  <si>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</si>
  <si>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</si>
  <si>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</si>
  <si>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</si>
  <si>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</si>
  <si>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</si>
  <si>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</si>
  <si>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</si>
  <si>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</si>
  <si>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</si>
  <si>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</si>
  <si>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</si>
  <si>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</si>
  <si>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</si>
  <si>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</si>
  <si>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</si>
  <si>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</si>
  <si>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</si>
  <si>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</si>
  <si>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</si>
  <si>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</si>
  <si>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</si>
  <si>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</si>
  <si>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</si>
  <si>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</si>
  <si>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</si>
  <si>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</si>
  <si>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</si>
  <si>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</si>
  <si>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</si>
  <si>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</si>
  <si>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</si>
  <si>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</si>
  <si>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</si>
  <si>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</si>
  <si>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</si>
  <si>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</si>
  <si>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</si>
  <si>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</si>
  <si>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</si>
  <si>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</si>
  <si>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</si>
  <si>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</si>
  <si>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</si>
  <si>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</si>
  <si>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</si>
  <si>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</si>
  <si>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</si>
  <si>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</si>
  <si>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</si>
  <si>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</si>
  <si>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</si>
  <si>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</si>
  <si>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</si>
  <si>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</si>
  <si>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</si>
  <si>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</si>
  <si>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</si>
  <si>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</si>
  <si>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</si>
  <si>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</si>
  <si>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</si>
  <si>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</si>
  <si>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</si>
  <si>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</si>
  <si>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</si>
  <si>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</si>
  <si>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</si>
  <si>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</si>
  <si>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</si>
  <si>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</si>
  <si>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</si>
  <si>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</si>
  <si>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</si>
  <si>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</si>
  <si>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</si>
  <si>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</si>
  <si>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</si>
  <si>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</si>
  <si>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</si>
  <si>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</si>
  <si>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</si>
  <si>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</si>
  <si>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</si>
  <si>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</si>
  <si>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</si>
  <si>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</si>
  <si>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</si>
  <si>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</si>
  <si>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</si>
  <si>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</si>
  <si>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</si>
  <si>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</si>
  <si>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</si>
  <si>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</si>
  <si>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</si>
  <si>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</si>
  <si>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</si>
  <si>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</si>
  <si>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</si>
  <si>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</si>
  <si>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</si>
  <si>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</si>
  <si>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</si>
  <si>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</si>
  <si>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</si>
  <si>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</si>
  <si>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</si>
  <si>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</si>
  <si>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</si>
  <si>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</si>
  <si>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</si>
  <si>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</si>
  <si>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</si>
  <si>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</si>
  <si>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</si>
  <si>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</si>
  <si>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</si>
  <si>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</si>
  <si>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</si>
  <si>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</si>
  <si>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</si>
  <si>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</si>
  <si>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</si>
  <si>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</si>
  <si>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</si>
  <si>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</si>
  <si>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</si>
  <si>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</si>
  <si>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</si>
  <si>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</si>
  <si>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</si>
  <si>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</si>
  <si>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</si>
  <si>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</si>
  <si>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</si>
  <si>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</si>
  <si>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</si>
  <si>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</si>
  <si>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</si>
  <si>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</si>
  <si>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</si>
  <si>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</si>
  <si>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</si>
  <si>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</si>
  <si>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</si>
  <si>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</si>
  <si>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</si>
  <si>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</si>
  <si>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</si>
  <si>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</si>
  <si>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</si>
  <si>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</si>
  <si>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</si>
  <si>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</si>
  <si>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</si>
  <si>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</si>
  <si>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</si>
  <si>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</si>
  <si>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</si>
  <si>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</si>
  <si>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</si>
  <si>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</si>
  <si>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</si>
  <si>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</si>
  <si>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</si>
  <si>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</si>
  <si>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</si>
  <si>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</si>
  <si>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</si>
  <si>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</si>
  <si>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</si>
  <si>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</si>
  <si>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</si>
  <si>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</si>
  <si>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</si>
  <si>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</si>
  <si>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</si>
  <si>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</si>
  <si>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</si>
  <si>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</si>
  <si>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</si>
  <si>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</si>
  <si>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</si>
  <si>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</si>
  <si>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</si>
  <si>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</si>
  <si>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</si>
  <si>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</si>
  <si>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</si>
  <si>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</si>
  <si>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</si>
  <si>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</si>
  <si>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</si>
  <si>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</si>
  <si>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</si>
  <si>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</si>
  <si>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</si>
  <si>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</si>
  <si>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</si>
  <si>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</si>
  <si>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</si>
  <si>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</si>
  <si>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</si>
  <si>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</si>
  <si>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</si>
  <si>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</si>
  <si>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</si>
  <si>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</si>
  <si>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</si>
  <si>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</si>
  <si>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</si>
  <si>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</si>
  <si>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</si>
  <si>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</si>
  <si>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</si>
  <si>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</si>
  <si>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</si>
  <si>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</si>
  <si>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</si>
  <si>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</si>
  <si>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</si>
  <si>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</si>
  <si>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</si>
  <si>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</si>
  <si>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</si>
  <si>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</si>
  <si>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</si>
  <si>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</si>
  <si>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</si>
  <si>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</si>
  <si>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</si>
  <si>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</si>
  <si>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</si>
  <si>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</si>
  <si>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</si>
  <si>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</si>
  <si>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</si>
  <si>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</si>
  <si>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</si>
  <si>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</si>
  <si>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</si>
  <si>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</si>
  <si>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</si>
  <si>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</si>
  <si>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</si>
  <si>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</si>
  <si>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</si>
  <si>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</si>
  <si>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</si>
  <si>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</si>
  <si>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</si>
  <si>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</si>
  <si>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</si>
  <si>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</si>
  <si>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</si>
  <si>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</si>
  <si>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</si>
  <si>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</si>
  <si>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</si>
  <si>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</si>
  <si>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</si>
  <si>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</si>
  <si>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</si>
  <si>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</si>
  <si>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</si>
  <si>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</si>
  <si>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</si>
  <si>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</si>
  <si>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</si>
  <si>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</si>
  <si>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</si>
  <si>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</si>
  <si>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</si>
  <si>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</si>
  <si>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</si>
  <si>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</si>
  <si>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</si>
  <si>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</si>
  <si>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</si>
  <si>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</si>
  <si>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</si>
  <si>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</si>
  <si>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</si>
  <si>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</si>
  <si>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</si>
  <si>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</si>
  <si>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</si>
  <si>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</si>
  <si>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</si>
  <si>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</si>
  <si>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</si>
  <si>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</si>
  <si>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</si>
  <si>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</si>
  <si>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</si>
  <si>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</si>
  <si>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</si>
  <si>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</si>
  <si>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</si>
  <si>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</si>
  <si>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</si>
  <si>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</si>
  <si>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</si>
  <si>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</si>
  <si>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</si>
  <si>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</si>
  <si>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</si>
  <si>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</si>
  <si>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</si>
  <si>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</si>
  <si>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</si>
  <si>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</si>
  <si>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</si>
  <si>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</si>
  <si>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</si>
  <si>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</si>
  <si>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</si>
  <si>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</si>
  <si>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</si>
  <si>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</si>
  <si>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</si>
  <si>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</si>
  <si>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</si>
  <si>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</si>
  <si>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</si>
  <si>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</si>
  <si>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</si>
  <si>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</si>
  <si>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</si>
  <si>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</si>
  <si>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</si>
  <si>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</si>
  <si>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</si>
  <si>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</si>
  <si>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</si>
  <si>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</si>
  <si>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</si>
  <si>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</si>
  <si>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</si>
  <si>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</si>
  <si>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</si>
  <si>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</si>
  <si>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</si>
  <si>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</si>
  <si>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</si>
  <si>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</si>
  <si>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</si>
  <si>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</si>
  <si>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</si>
  <si>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</si>
  <si>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</si>
  <si>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</si>
  <si>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</si>
  <si>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</si>
  <si>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</si>
  <si>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</si>
  <si>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</si>
  <si>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</si>
  <si>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</si>
  <si>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</si>
  <si>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</si>
  <si>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</si>
  <si>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</si>
  <si>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</si>
  <si>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</si>
  <si>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</si>
  <si>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</si>
  <si>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</si>
  <si>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</si>
  <si>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</si>
  <si>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</si>
  <si>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</si>
  <si>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</si>
  <si>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</si>
  <si>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</si>
  <si>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</si>
  <si>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</si>
  <si>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</si>
  <si>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</si>
  <si>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</si>
  <si>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</si>
  <si>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</si>
  <si>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</si>
  <si>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</si>
  <si>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</si>
  <si>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</si>
  <si>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</si>
  <si>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</si>
  <si>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</si>
  <si>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</si>
  <si>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</si>
  <si>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</si>
  <si>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</si>
  <si>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</si>
  <si>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</si>
  <si>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</si>
  <si>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</si>
  <si>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</si>
  <si>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</si>
  <si>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</si>
  <si>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</si>
  <si>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</si>
  <si>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</si>
  <si>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</si>
  <si>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</si>
  <si>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</si>
  <si>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</si>
  <si>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</si>
  <si>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</si>
  <si>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</si>
  <si>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</si>
  <si>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</si>
  <si>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</si>
  <si>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</si>
  <si>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Gender_nuevo</t>
  </si>
  <si>
    <t>ST_nuevo</t>
  </si>
  <si>
    <t>Education_nuevo</t>
  </si>
  <si>
    <t>Número de puertas</t>
  </si>
  <si>
    <t>Duración</t>
  </si>
  <si>
    <t>Policy Type nuevo</t>
  </si>
  <si>
    <t>SUMA</t>
  </si>
  <si>
    <t>PROMEDIO</t>
  </si>
  <si>
    <t>CONTAR</t>
  </si>
  <si>
    <t>CONTAR.SI</t>
  </si>
  <si>
    <t>MAX</t>
  </si>
  <si>
    <t>MIN</t>
  </si>
  <si>
    <t>SI</t>
  </si>
  <si>
    <t>BUSCARV</t>
  </si>
  <si>
    <t>CONCAT</t>
  </si>
  <si>
    <t>HOY</t>
  </si>
  <si>
    <t>AHORA</t>
  </si>
  <si>
    <t>REDONDEAR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</si>
</sst>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0" applyNumberFormat="1"/>
    <xf numFmtId="2" fontId="0" fillId="0" borderId="0" xfId="1" applyNumberFormat="1" applyFont="1"/>
    <xf numFmtId="0" fontId="3" fillId="0" borderId="1" xfId="0" applyFont="1" applyBorder="1"/>
    <xf numFmtId="0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89D2-395D-47E4-B43B-31B0301F0767}">
  <dimension ref="A1:X1072"/>
  <sheetViews>
    <sheetView tabSelected="1" topLeftCell="H1" zoomScale="80" zoomScaleNormal="80" workbookViewId="0">
      <selection activeCell="T13" sqref="T13"/>
    </sheetView>
  </sheetViews>
  <sheetFormatPr defaultRowHeight="14.5" x14ac:dyDescent="0.35"/>
  <cols>
    <col min="1" max="1" width="11.90625" bestFit="1" customWidth="1"/>
    <col min="2" max="3" width="10.90625" bestFit="1" customWidth="1"/>
    <col min="4" max="4" width="18.81640625" bestFit="1" customWidth="1"/>
    <col min="5" max="5" width="24.6328125" style="4" bestFit="1" customWidth="1"/>
    <col min="6" max="6" width="10.08984375" style="4" bestFit="1" customWidth="1"/>
    <col min="7" max="7" width="23.26953125" style="4" bestFit="1" customWidth="1"/>
    <col min="8" max="8" width="27.81640625" style="4" bestFit="1" customWidth="1"/>
    <col min="9" max="9" width="14.08984375" bestFit="1" customWidth="1"/>
    <col min="10" max="10" width="14.54296875" bestFit="1" customWidth="1"/>
    <col min="11" max="11" width="20.54296875" style="4" bestFit="1" customWidth="1"/>
    <col min="12" max="12" width="10.81640625" bestFit="1" customWidth="1"/>
    <col min="13" max="13" width="7.1796875" bestFit="1" customWidth="1"/>
    <col min="14" max="14" width="12.26953125" bestFit="1" customWidth="1"/>
    <col min="15" max="15" width="8.1796875" bestFit="1" customWidth="1"/>
    <col min="16" max="16" width="10.1796875" bestFit="1" customWidth="1"/>
    <col min="17" max="17" width="6.08984375" bestFit="1" customWidth="1"/>
    <col min="18" max="18" width="4.6328125" bestFit="1" customWidth="1"/>
    <col min="19" max="19" width="9.54296875" bestFit="1" customWidth="1"/>
    <col min="20" max="20" width="9" bestFit="1" customWidth="1"/>
    <col min="21" max="21" width="19" bestFit="1" customWidth="1"/>
    <col min="22" max="22" width="10.81640625" bestFit="1" customWidth="1"/>
    <col min="23" max="23" width="16" bestFit="1" customWidth="1"/>
    <col min="24" max="24" width="11.7265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t="s">
        <v>8</v>
      </c>
      <c r="J1" t="s">
        <v>9</v>
      </c>
      <c r="K1" s="4" t="s">
        <v>10</v>
      </c>
      <c r="L1" t="s">
        <v>11</v>
      </c>
      <c r="M1" s="6" t="s">
        <v>9194</v>
      </c>
      <c r="N1" s="6" t="s">
        <v>9195</v>
      </c>
      <c r="O1" s="6" t="s">
        <v>9196</v>
      </c>
      <c r="P1" s="6" t="s">
        <v>9197</v>
      </c>
      <c r="Q1" s="6" t="s">
        <v>9198</v>
      </c>
      <c r="R1" s="6" t="s">
        <v>9199</v>
      </c>
      <c r="S1" s="6" t="s">
        <v>9200</v>
      </c>
      <c r="T1" s="6" t="s">
        <v>9201</v>
      </c>
      <c r="U1" s="6" t="s">
        <v>9202</v>
      </c>
      <c r="V1" s="6" t="s">
        <v>9203</v>
      </c>
      <c r="W1" s="6" t="s">
        <v>9204</v>
      </c>
      <c r="X1" s="6" t="s">
        <v>9205</v>
      </c>
    </row>
    <row r="2" spans="1:24" x14ac:dyDescent="0.35">
      <c r="A2" t="s">
        <v>12</v>
      </c>
      <c r="B2" t="s">
        <v>13</v>
      </c>
      <c r="C2" t="s">
        <v>14</v>
      </c>
      <c r="D2" t="s">
        <v>15</v>
      </c>
      <c r="E2" s="5"/>
      <c r="F2" s="4">
        <v>0</v>
      </c>
      <c r="G2" s="4">
        <v>1000</v>
      </c>
      <c r="H2" s="4">
        <v>0</v>
      </c>
      <c r="I2" t="s">
        <v>16</v>
      </c>
      <c r="J2" t="s">
        <v>17</v>
      </c>
      <c r="K2" s="4">
        <v>2.7049340000000002</v>
      </c>
      <c r="L2" s="2">
        <v>35002.704934000001</v>
      </c>
      <c r="M2" s="7">
        <f>SUM($G$2:$G$1072)</f>
        <v>206954</v>
      </c>
      <c r="N2" s="7">
        <f>AVERAGE($G$2:$G$1072)</f>
        <v>193.23436041083099</v>
      </c>
      <c r="O2" s="7">
        <f>COUNT($G$2:$G$1072)</f>
        <v>1071</v>
      </c>
      <c r="P2" s="7">
        <f>COUNTIF($G$2:$G$1072,"&gt;100")</f>
        <v>367</v>
      </c>
      <c r="Q2" s="7">
        <f>MAX($G$2:$G$1072)</f>
        <v>35354</v>
      </c>
      <c r="R2" s="7">
        <f>MIN($G$2:$G$1072)</f>
        <v>61</v>
      </c>
      <c r="S2" s="7" t="str">
        <f>IF($G$2&gt;100,"PREMIUM","ESTÁNDAR")</f>
        <v>PREMIUM</v>
      </c>
      <c r="T2" s="8">
        <f>VLOOKUP(A2,$A$2:$L$1072,7,FALSE)</f>
        <v>1000</v>
      </c>
      <c r="U2" s="8" t="str">
        <f>_xlfn.CONCAT(A2," ",B2)</f>
        <v>RB50392 Washington</v>
      </c>
      <c r="V2" s="9">
        <f ca="1">TODAY()</f>
        <v>46275</v>
      </c>
      <c r="W2" s="10">
        <f ca="1">NOW()</f>
        <v>46275.601724189815</v>
      </c>
      <c r="X2" s="7">
        <f>ROUND(E3,0)</f>
        <v>697954</v>
      </c>
    </row>
    <row r="3" spans="1:24" x14ac:dyDescent="0.35">
      <c r="A3" t="s">
        <v>18</v>
      </c>
      <c r="B3" t="s">
        <v>19</v>
      </c>
      <c r="C3" t="s">
        <v>20</v>
      </c>
      <c r="D3" t="s">
        <v>21</v>
      </c>
      <c r="E3" s="5">
        <v>697953.59</v>
      </c>
      <c r="F3" s="4">
        <v>0</v>
      </c>
      <c r="G3" s="4">
        <v>94</v>
      </c>
      <c r="H3" s="4">
        <v>0</v>
      </c>
      <c r="I3" t="s">
        <v>16</v>
      </c>
      <c r="J3" t="s">
        <v>17</v>
      </c>
      <c r="K3" s="4">
        <v>1131.464935</v>
      </c>
      <c r="L3" s="2">
        <v>36131.464934999996</v>
      </c>
    </row>
    <row r="4" spans="1:24" x14ac:dyDescent="0.35">
      <c r="A4" t="s">
        <v>22</v>
      </c>
      <c r="B4" t="s">
        <v>23</v>
      </c>
      <c r="C4" t="s">
        <v>20</v>
      </c>
      <c r="D4" t="s">
        <v>21</v>
      </c>
      <c r="E4" s="5">
        <v>1288743.17</v>
      </c>
      <c r="F4" s="4">
        <v>48767</v>
      </c>
      <c r="G4" s="4">
        <v>108</v>
      </c>
      <c r="H4" s="4">
        <v>0</v>
      </c>
      <c r="I4" t="s">
        <v>16</v>
      </c>
      <c r="J4" t="s">
        <v>24</v>
      </c>
      <c r="K4" s="4">
        <v>566.47224700000004</v>
      </c>
      <c r="L4" s="2">
        <v>35566.472246999998</v>
      </c>
    </row>
    <row r="5" spans="1:24" x14ac:dyDescent="0.35">
      <c r="A5" t="s">
        <v>25</v>
      </c>
      <c r="B5" t="s">
        <v>26</v>
      </c>
      <c r="C5" t="s">
        <v>27</v>
      </c>
      <c r="D5" t="s">
        <v>21</v>
      </c>
      <c r="E5" s="5">
        <v>764586.18</v>
      </c>
      <c r="F5" s="4">
        <v>0</v>
      </c>
      <c r="G5" s="4">
        <v>106</v>
      </c>
      <c r="H5" s="4">
        <v>0</v>
      </c>
      <c r="I5" t="s">
        <v>28</v>
      </c>
      <c r="J5" t="s">
        <v>29</v>
      </c>
      <c r="K5" s="4">
        <v>529.88134400000001</v>
      </c>
      <c r="L5" s="2">
        <v>35529.881344000001</v>
      </c>
    </row>
    <row r="6" spans="1:24" x14ac:dyDescent="0.35">
      <c r="A6" t="s">
        <v>30</v>
      </c>
      <c r="B6" t="s">
        <v>13</v>
      </c>
      <c r="C6" t="s">
        <v>27</v>
      </c>
      <c r="D6" t="s">
        <v>31</v>
      </c>
      <c r="E6" s="5">
        <v>536307.65</v>
      </c>
      <c r="F6" s="4">
        <v>36357</v>
      </c>
      <c r="G6" s="4">
        <v>68</v>
      </c>
      <c r="H6" s="4">
        <v>0</v>
      </c>
      <c r="I6" t="s">
        <v>16</v>
      </c>
      <c r="J6" t="s">
        <v>17</v>
      </c>
      <c r="K6" s="4">
        <v>17.269323</v>
      </c>
      <c r="L6" s="2">
        <v>35017.269323</v>
      </c>
    </row>
    <row r="7" spans="1:24" x14ac:dyDescent="0.35">
      <c r="A7" t="s">
        <v>32</v>
      </c>
      <c r="B7" t="s">
        <v>33</v>
      </c>
      <c r="C7" t="s">
        <v>20</v>
      </c>
      <c r="D7" t="s">
        <v>21</v>
      </c>
      <c r="E7" s="5">
        <v>825629.78</v>
      </c>
      <c r="F7" s="4">
        <v>62902</v>
      </c>
      <c r="G7" s="4">
        <v>69</v>
      </c>
      <c r="H7" s="4">
        <v>0</v>
      </c>
      <c r="I7" t="s">
        <v>16</v>
      </c>
      <c r="J7" t="s">
        <v>24</v>
      </c>
      <c r="K7" s="4">
        <v>159.38304199999999</v>
      </c>
      <c r="L7" s="2">
        <v>35159.383042000001</v>
      </c>
    </row>
    <row r="8" spans="1:24" x14ac:dyDescent="0.35">
      <c r="A8" t="s">
        <v>34</v>
      </c>
      <c r="B8" t="s">
        <v>33</v>
      </c>
      <c r="C8" t="s">
        <v>20</v>
      </c>
      <c r="D8" t="s">
        <v>35</v>
      </c>
      <c r="E8" s="5">
        <v>538089.86</v>
      </c>
      <c r="F8" s="4">
        <v>55350</v>
      </c>
      <c r="G8" s="4">
        <v>67</v>
      </c>
      <c r="H8" s="4">
        <v>0</v>
      </c>
      <c r="I8" t="s">
        <v>28</v>
      </c>
      <c r="J8" t="s">
        <v>17</v>
      </c>
      <c r="K8" s="4">
        <v>321.60000000000002</v>
      </c>
      <c r="L8" s="2">
        <v>35321.599999999999</v>
      </c>
    </row>
    <row r="9" spans="1:24" x14ac:dyDescent="0.35">
      <c r="A9" t="s">
        <v>36</v>
      </c>
      <c r="B9" t="s">
        <v>19</v>
      </c>
      <c r="C9" t="s">
        <v>27</v>
      </c>
      <c r="D9" t="s">
        <v>15</v>
      </c>
      <c r="E9" s="5">
        <v>721610.03</v>
      </c>
      <c r="F9" s="4">
        <v>0</v>
      </c>
      <c r="G9" s="4">
        <v>101</v>
      </c>
      <c r="H9" s="4">
        <v>0</v>
      </c>
      <c r="I9" t="s">
        <v>28</v>
      </c>
      <c r="J9" t="s">
        <v>17</v>
      </c>
      <c r="K9" s="4">
        <v>363.02967999999998</v>
      </c>
      <c r="L9" s="2">
        <v>35363.02968</v>
      </c>
    </row>
    <row r="10" spans="1:24" x14ac:dyDescent="0.35">
      <c r="A10" t="s">
        <v>37</v>
      </c>
      <c r="B10" t="s">
        <v>33</v>
      </c>
      <c r="C10" t="s">
        <v>27</v>
      </c>
      <c r="D10" t="s">
        <v>21</v>
      </c>
      <c r="E10" s="5">
        <v>2412750.4</v>
      </c>
      <c r="F10" s="4">
        <v>14072</v>
      </c>
      <c r="G10" s="4">
        <v>71</v>
      </c>
      <c r="H10" s="4">
        <v>0</v>
      </c>
      <c r="I10" t="s">
        <v>28</v>
      </c>
      <c r="J10" t="s">
        <v>17</v>
      </c>
      <c r="K10" s="4">
        <v>511.2</v>
      </c>
      <c r="L10" s="2">
        <v>35511.199999999997</v>
      </c>
    </row>
    <row r="11" spans="1:24" x14ac:dyDescent="0.35">
      <c r="A11" t="s">
        <v>38</v>
      </c>
      <c r="B11" t="s">
        <v>33</v>
      </c>
      <c r="C11" t="s">
        <v>20</v>
      </c>
      <c r="D11" t="s">
        <v>35</v>
      </c>
      <c r="E11" s="5">
        <v>738817.81</v>
      </c>
      <c r="F11" s="4">
        <v>28812</v>
      </c>
      <c r="G11" s="4">
        <v>93</v>
      </c>
      <c r="H11" s="4">
        <v>0</v>
      </c>
      <c r="I11" t="s">
        <v>39</v>
      </c>
      <c r="J11" t="s">
        <v>17</v>
      </c>
      <c r="K11" s="4">
        <v>425.52783399999998</v>
      </c>
      <c r="L11" s="2">
        <v>35425.527834</v>
      </c>
    </row>
    <row r="12" spans="1:24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 s="4">
        <v>0</v>
      </c>
      <c r="G12" s="4">
        <v>67</v>
      </c>
      <c r="H12" s="4">
        <v>0</v>
      </c>
      <c r="I12" t="s">
        <v>16</v>
      </c>
      <c r="J12" t="s">
        <v>17</v>
      </c>
      <c r="K12" s="4">
        <v>482.4</v>
      </c>
      <c r="L12" s="2">
        <v>35482.400000000001</v>
      </c>
    </row>
    <row r="13" spans="1:24" x14ac:dyDescent="0.35">
      <c r="A13" t="s">
        <v>41</v>
      </c>
      <c r="B13" t="s">
        <v>26</v>
      </c>
      <c r="C13" t="s">
        <v>14</v>
      </c>
      <c r="D13" t="s">
        <v>35</v>
      </c>
      <c r="E13" s="5">
        <v>819719.71</v>
      </c>
      <c r="F13" s="4">
        <v>0</v>
      </c>
      <c r="G13" s="4">
        <v>110</v>
      </c>
      <c r="H13" s="4">
        <v>0</v>
      </c>
      <c r="I13" t="s">
        <v>16</v>
      </c>
      <c r="J13" t="s">
        <v>29</v>
      </c>
      <c r="K13" s="4">
        <v>528</v>
      </c>
      <c r="L13" s="2">
        <v>35528</v>
      </c>
    </row>
    <row r="14" spans="1:24" x14ac:dyDescent="0.35">
      <c r="A14" t="s">
        <v>42</v>
      </c>
      <c r="B14" t="s">
        <v>26</v>
      </c>
      <c r="C14" t="s">
        <v>14</v>
      </c>
      <c r="D14" t="s">
        <v>15</v>
      </c>
      <c r="E14" s="5">
        <v>879879.7</v>
      </c>
      <c r="F14" s="4">
        <v>77026</v>
      </c>
      <c r="G14" s="4">
        <v>110</v>
      </c>
      <c r="H14" s="4">
        <v>36557</v>
      </c>
      <c r="I14" t="s">
        <v>28</v>
      </c>
      <c r="J14" t="s">
        <v>17</v>
      </c>
      <c r="K14" s="4">
        <v>472.02973700000001</v>
      </c>
      <c r="L14" s="2">
        <v>35472.029736999997</v>
      </c>
    </row>
    <row r="15" spans="1:24" x14ac:dyDescent="0.35">
      <c r="A15" t="s">
        <v>43</v>
      </c>
      <c r="B15" t="s">
        <v>19</v>
      </c>
      <c r="C15" t="s">
        <v>14</v>
      </c>
      <c r="D15" t="s">
        <v>31</v>
      </c>
      <c r="E15" s="5">
        <v>881901.89</v>
      </c>
      <c r="F15" s="4">
        <v>99845</v>
      </c>
      <c r="G15" s="4">
        <v>110</v>
      </c>
      <c r="H15" s="4">
        <v>36526</v>
      </c>
      <c r="I15" t="s">
        <v>28</v>
      </c>
      <c r="J15" t="s">
        <v>29</v>
      </c>
      <c r="K15" s="4">
        <v>528</v>
      </c>
      <c r="L15" s="2">
        <v>35528</v>
      </c>
    </row>
    <row r="16" spans="1:24" x14ac:dyDescent="0.35">
      <c r="A16" t="s">
        <v>44</v>
      </c>
      <c r="B16" t="s">
        <v>26</v>
      </c>
      <c r="C16" t="s">
        <v>14</v>
      </c>
      <c r="D16" t="s">
        <v>35</v>
      </c>
      <c r="E16" s="5">
        <v>538443.17000000004</v>
      </c>
      <c r="F16" s="4">
        <v>83689</v>
      </c>
      <c r="G16" s="4">
        <v>70</v>
      </c>
      <c r="H16" s="4">
        <v>36557</v>
      </c>
      <c r="I16" t="s">
        <v>28</v>
      </c>
      <c r="J16" t="s">
        <v>17</v>
      </c>
      <c r="K16" s="4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5">
        <v>746313.94</v>
      </c>
      <c r="F17" s="4">
        <v>24599</v>
      </c>
      <c r="G17" s="4">
        <v>64</v>
      </c>
      <c r="H17" s="4">
        <v>36526</v>
      </c>
      <c r="I17" t="s">
        <v>28</v>
      </c>
      <c r="J17" t="s">
        <v>17</v>
      </c>
      <c r="K17" s="4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5">
        <v>256686.78</v>
      </c>
      <c r="F18" s="4">
        <v>25049</v>
      </c>
      <c r="G18" s="4">
        <v>67</v>
      </c>
      <c r="H18" s="4">
        <v>0</v>
      </c>
      <c r="I18" t="s">
        <v>16</v>
      </c>
      <c r="J18" t="s">
        <v>24</v>
      </c>
      <c r="K18" s="4">
        <v>454.24509799999998</v>
      </c>
      <c r="L18" s="2">
        <v>35454.245097999999</v>
      </c>
    </row>
    <row r="19" spans="1:12" x14ac:dyDescent="0.35">
      <c r="A19" t="s">
        <v>47</v>
      </c>
      <c r="B19" t="s">
        <v>26</v>
      </c>
      <c r="C19" t="s">
        <v>14</v>
      </c>
      <c r="D19" t="s">
        <v>35</v>
      </c>
      <c r="E19" s="5">
        <v>394524.15999999997</v>
      </c>
      <c r="F19" s="4">
        <v>28855</v>
      </c>
      <c r="G19" s="4">
        <v>101</v>
      </c>
      <c r="H19" s="4">
        <v>0</v>
      </c>
      <c r="I19" t="s">
        <v>16</v>
      </c>
      <c r="J19" t="s">
        <v>29</v>
      </c>
      <c r="K19" s="4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5">
        <v>571033.31000000006</v>
      </c>
      <c r="F20" s="4">
        <v>51148</v>
      </c>
      <c r="G20" s="4">
        <v>72</v>
      </c>
      <c r="H20" s="4">
        <v>0</v>
      </c>
      <c r="I20" t="s">
        <v>16</v>
      </c>
      <c r="J20" t="s">
        <v>17</v>
      </c>
      <c r="K20" s="4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5">
        <v>816261.71</v>
      </c>
      <c r="F21" s="4">
        <v>66140</v>
      </c>
      <c r="G21" s="4">
        <v>101</v>
      </c>
      <c r="H21" s="4">
        <v>0</v>
      </c>
      <c r="I21" t="s">
        <v>28</v>
      </c>
      <c r="J21" t="s">
        <v>17</v>
      </c>
      <c r="K21" s="4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5">
        <v>287205.13</v>
      </c>
      <c r="F22" s="4">
        <v>57749</v>
      </c>
      <c r="G22" s="4">
        <v>74</v>
      </c>
      <c r="H22" s="4">
        <v>0</v>
      </c>
      <c r="I22" t="s">
        <v>16</v>
      </c>
      <c r="J22" t="s">
        <v>24</v>
      </c>
      <c r="K22" s="4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21</v>
      </c>
      <c r="E23" s="5">
        <v>617710.93000000005</v>
      </c>
      <c r="F23" s="4">
        <v>61040</v>
      </c>
      <c r="G23" s="4">
        <v>79</v>
      </c>
      <c r="H23" s="4">
        <v>36526</v>
      </c>
      <c r="I23" t="s">
        <v>16</v>
      </c>
      <c r="J23" t="s">
        <v>24</v>
      </c>
      <c r="K23" s="4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5">
        <v>2412750.4</v>
      </c>
      <c r="F24" s="4">
        <v>14072</v>
      </c>
      <c r="G24" s="4">
        <v>71</v>
      </c>
      <c r="H24" s="4">
        <v>0</v>
      </c>
      <c r="I24" t="s">
        <v>16</v>
      </c>
      <c r="J24" t="s">
        <v>17</v>
      </c>
      <c r="K24" s="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5">
        <v>245019.1</v>
      </c>
      <c r="F25" s="4">
        <v>0</v>
      </c>
      <c r="G25" s="4">
        <v>73</v>
      </c>
      <c r="H25" s="4">
        <v>36586</v>
      </c>
      <c r="I25" t="s">
        <v>28</v>
      </c>
      <c r="J25" t="s">
        <v>17</v>
      </c>
      <c r="K25" s="4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5">
        <v>239210.79</v>
      </c>
      <c r="F26" s="4">
        <v>17870</v>
      </c>
      <c r="G26" s="4">
        <v>61</v>
      </c>
      <c r="H26" s="4">
        <v>0</v>
      </c>
      <c r="I26" t="s">
        <v>28</v>
      </c>
      <c r="J26" t="s">
        <v>17</v>
      </c>
      <c r="K26" s="4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5">
        <v>580206.6</v>
      </c>
      <c r="F27" s="4">
        <v>97541</v>
      </c>
      <c r="G27" s="4">
        <v>72</v>
      </c>
      <c r="H27" s="4">
        <v>0</v>
      </c>
      <c r="I27" t="s">
        <v>16</v>
      </c>
      <c r="J27" t="s">
        <v>17</v>
      </c>
      <c r="K27" s="4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5">
        <v>394637.21</v>
      </c>
      <c r="F28" s="4">
        <v>0</v>
      </c>
      <c r="G28" s="4">
        <v>111</v>
      </c>
      <c r="H28" s="4">
        <v>0</v>
      </c>
      <c r="I28" t="s">
        <v>16</v>
      </c>
      <c r="J28" t="s">
        <v>17</v>
      </c>
      <c r="K28" s="4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5">
        <v>916206.32</v>
      </c>
      <c r="F29" s="4">
        <v>29723</v>
      </c>
      <c r="G29" s="4">
        <v>80</v>
      </c>
      <c r="H29" s="4">
        <v>0</v>
      </c>
      <c r="I29" t="s">
        <v>16</v>
      </c>
      <c r="J29" t="s">
        <v>17</v>
      </c>
      <c r="K29" s="4">
        <v>20.985105000000001</v>
      </c>
      <c r="L29" s="2">
        <v>35020.985105</v>
      </c>
    </row>
    <row r="30" spans="1:12" x14ac:dyDescent="0.35">
      <c r="A30" t="s">
        <v>60</v>
      </c>
      <c r="B30" t="s">
        <v>19</v>
      </c>
      <c r="C30" t="s">
        <v>14</v>
      </c>
      <c r="D30" t="s">
        <v>35</v>
      </c>
      <c r="E30" s="5">
        <v>1290256.01</v>
      </c>
      <c r="F30" s="4">
        <v>86584</v>
      </c>
      <c r="G30" s="4">
        <v>111</v>
      </c>
      <c r="H30" s="4">
        <v>36557</v>
      </c>
      <c r="I30" t="s">
        <v>16</v>
      </c>
      <c r="J30" t="s">
        <v>17</v>
      </c>
      <c r="K30" s="4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5">
        <v>323536.05</v>
      </c>
      <c r="F31" s="4">
        <v>75690</v>
      </c>
      <c r="G31" s="4">
        <v>80</v>
      </c>
      <c r="H31" s="4">
        <v>36526</v>
      </c>
      <c r="I31" t="s">
        <v>16</v>
      </c>
      <c r="J31" t="s">
        <v>17</v>
      </c>
      <c r="K31" s="4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5">
        <v>245458.35</v>
      </c>
      <c r="F32" s="4">
        <v>23158</v>
      </c>
      <c r="G32" s="4">
        <v>63</v>
      </c>
      <c r="H32" s="4">
        <v>36526</v>
      </c>
      <c r="I32" t="s">
        <v>16</v>
      </c>
      <c r="J32" t="s">
        <v>17</v>
      </c>
      <c r="K32" s="4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5">
        <v>1897545.61</v>
      </c>
      <c r="F33" s="4">
        <v>65999</v>
      </c>
      <c r="G33" s="4">
        <v>237</v>
      </c>
      <c r="H33" s="4">
        <v>0</v>
      </c>
      <c r="I33" t="s">
        <v>28</v>
      </c>
      <c r="J33" t="s">
        <v>65</v>
      </c>
      <c r="K33" s="4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5">
        <v>471532.13</v>
      </c>
      <c r="F34" s="4">
        <v>0</v>
      </c>
      <c r="G34" s="4">
        <v>65</v>
      </c>
      <c r="H34" s="4">
        <v>0</v>
      </c>
      <c r="I34" t="s">
        <v>16</v>
      </c>
      <c r="J34" t="s">
        <v>17</v>
      </c>
      <c r="K34" s="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5">
        <v>473787.17</v>
      </c>
      <c r="F35" s="4">
        <v>0</v>
      </c>
      <c r="G35" s="4">
        <v>130</v>
      </c>
      <c r="H35" s="4">
        <v>0</v>
      </c>
      <c r="I35" t="s">
        <v>16</v>
      </c>
      <c r="J35" t="s">
        <v>29</v>
      </c>
      <c r="K35" s="4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5">
        <v>493291.63</v>
      </c>
      <c r="F36" s="4">
        <v>37260</v>
      </c>
      <c r="G36" s="4">
        <v>62</v>
      </c>
      <c r="H36" s="4">
        <v>0</v>
      </c>
      <c r="I36" t="s">
        <v>28</v>
      </c>
      <c r="J36" t="s">
        <v>17</v>
      </c>
      <c r="K36" s="4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5">
        <v>574422.97</v>
      </c>
      <c r="F37" s="4">
        <v>68987</v>
      </c>
      <c r="G37" s="4">
        <v>71</v>
      </c>
      <c r="H37" s="4">
        <v>0</v>
      </c>
      <c r="I37" t="s">
        <v>16</v>
      </c>
      <c r="J37" t="s">
        <v>17</v>
      </c>
      <c r="K37" s="4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5">
        <v>1389173.57</v>
      </c>
      <c r="F38" s="4">
        <v>42305</v>
      </c>
      <c r="G38" s="4">
        <v>117</v>
      </c>
      <c r="H38" s="4">
        <v>0</v>
      </c>
      <c r="I38" t="s">
        <v>16</v>
      </c>
      <c r="J38" t="s">
        <v>17</v>
      </c>
      <c r="K38" s="4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5">
        <v>738097.67</v>
      </c>
      <c r="F39" s="4">
        <v>65706</v>
      </c>
      <c r="G39" s="4">
        <v>91</v>
      </c>
      <c r="H39" s="4">
        <v>0</v>
      </c>
      <c r="I39" t="s">
        <v>16</v>
      </c>
      <c r="J39" t="s">
        <v>17</v>
      </c>
      <c r="K39" s="4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5">
        <v>309003.40999999997</v>
      </c>
      <c r="F40" s="4">
        <v>0</v>
      </c>
      <c r="G40" s="4">
        <v>90</v>
      </c>
      <c r="H40" s="4">
        <v>0</v>
      </c>
      <c r="I40" t="s">
        <v>16</v>
      </c>
      <c r="J40" t="s">
        <v>24</v>
      </c>
      <c r="K40" s="4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5">
        <v>252163.31</v>
      </c>
      <c r="F41" s="4">
        <v>53243</v>
      </c>
      <c r="G41" s="4">
        <v>66</v>
      </c>
      <c r="H41" s="4">
        <v>36557</v>
      </c>
      <c r="I41" t="s">
        <v>16</v>
      </c>
      <c r="J41" t="s">
        <v>17</v>
      </c>
      <c r="K41" s="4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5">
        <v>265206.18</v>
      </c>
      <c r="F42" s="4">
        <v>0</v>
      </c>
      <c r="G42" s="4">
        <v>70</v>
      </c>
      <c r="H42" s="4">
        <v>36526</v>
      </c>
      <c r="I42" t="s">
        <v>28</v>
      </c>
      <c r="J42" t="s">
        <v>24</v>
      </c>
      <c r="K42" s="4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5">
        <v>277104.5</v>
      </c>
      <c r="F43" s="4">
        <v>50071</v>
      </c>
      <c r="G43" s="4">
        <v>71</v>
      </c>
      <c r="H43" s="4">
        <v>0</v>
      </c>
      <c r="I43" t="s">
        <v>28</v>
      </c>
      <c r="J43" t="s">
        <v>24</v>
      </c>
      <c r="K43" s="4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5">
        <v>393900.64</v>
      </c>
      <c r="F44" s="4">
        <v>60021</v>
      </c>
      <c r="G44" s="4">
        <v>99</v>
      </c>
      <c r="H44" s="4">
        <v>0</v>
      </c>
      <c r="I44" t="s">
        <v>16</v>
      </c>
      <c r="J44" t="s">
        <v>17</v>
      </c>
      <c r="K44" s="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5">
        <v>1223187.97</v>
      </c>
      <c r="F45" s="4">
        <v>43244</v>
      </c>
      <c r="G45" s="4">
        <v>103</v>
      </c>
      <c r="H45" s="4">
        <v>0</v>
      </c>
      <c r="I45" t="s">
        <v>16</v>
      </c>
      <c r="J45" t="s">
        <v>78</v>
      </c>
      <c r="K45" s="4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5">
        <v>495165.61</v>
      </c>
      <c r="F46" s="4">
        <v>46896</v>
      </c>
      <c r="G46" s="4">
        <v>35354</v>
      </c>
      <c r="H46" s="4">
        <v>36526</v>
      </c>
      <c r="I46" t="s">
        <v>16</v>
      </c>
      <c r="J46" t="s">
        <v>17</v>
      </c>
      <c r="K46" s="4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5">
        <v>1281910.29</v>
      </c>
      <c r="F47" s="4">
        <v>10105</v>
      </c>
      <c r="G47" s="4">
        <v>172</v>
      </c>
      <c r="H47" s="4">
        <v>36586</v>
      </c>
      <c r="I47" t="s">
        <v>16</v>
      </c>
      <c r="J47" t="s">
        <v>29</v>
      </c>
      <c r="K47" s="4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5">
        <v>446851.05</v>
      </c>
      <c r="F48" s="4">
        <v>0</v>
      </c>
      <c r="G48" s="4">
        <v>73</v>
      </c>
      <c r="H48" s="4">
        <v>36586</v>
      </c>
      <c r="I48" t="s">
        <v>16</v>
      </c>
      <c r="J48" t="s">
        <v>17</v>
      </c>
      <c r="K48" s="4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5">
        <v>551434.4</v>
      </c>
      <c r="F49" s="4">
        <v>23218</v>
      </c>
      <c r="G49" s="4">
        <v>71</v>
      </c>
      <c r="H49" s="4">
        <v>0</v>
      </c>
      <c r="I49" t="s">
        <v>16</v>
      </c>
      <c r="J49" t="s">
        <v>24</v>
      </c>
      <c r="K49" s="4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5">
        <v>334387.53000000003</v>
      </c>
      <c r="F50" s="4">
        <v>0</v>
      </c>
      <c r="G50" s="4">
        <v>92</v>
      </c>
      <c r="H50" s="4">
        <v>0</v>
      </c>
      <c r="I50" t="s">
        <v>28</v>
      </c>
      <c r="J50" t="s">
        <v>17</v>
      </c>
      <c r="K50" s="4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5">
        <v>229447.89</v>
      </c>
      <c r="F51" s="4">
        <v>0</v>
      </c>
      <c r="G51" s="4">
        <v>62</v>
      </c>
      <c r="H51" s="4">
        <v>0</v>
      </c>
      <c r="I51" t="s">
        <v>16</v>
      </c>
      <c r="J51" t="s">
        <v>17</v>
      </c>
      <c r="K51" s="4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5">
        <v>3670742.64</v>
      </c>
      <c r="F52" s="4">
        <v>24804</v>
      </c>
      <c r="G52" s="4">
        <v>104</v>
      </c>
      <c r="H52" s="4">
        <v>0</v>
      </c>
      <c r="I52" t="s">
        <v>16</v>
      </c>
      <c r="J52" t="s">
        <v>29</v>
      </c>
      <c r="K52" s="4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5">
        <v>3347334.95</v>
      </c>
      <c r="F53" s="4">
        <v>33190</v>
      </c>
      <c r="G53" s="4">
        <v>106</v>
      </c>
      <c r="H53" s="4">
        <v>0</v>
      </c>
      <c r="I53" t="s">
        <v>28</v>
      </c>
      <c r="J53" t="s">
        <v>29</v>
      </c>
      <c r="K53" s="4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5">
        <v>798343.17</v>
      </c>
      <c r="F54" s="4">
        <v>36014</v>
      </c>
      <c r="G54" s="4">
        <v>69</v>
      </c>
      <c r="H54" s="4">
        <v>36586</v>
      </c>
      <c r="I54" t="s">
        <v>39</v>
      </c>
      <c r="J54" t="s">
        <v>17</v>
      </c>
      <c r="K54" s="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5">
        <v>487938.48</v>
      </c>
      <c r="F55" s="4">
        <v>67163</v>
      </c>
      <c r="G55" s="4">
        <v>61</v>
      </c>
      <c r="H55" s="4">
        <v>36557</v>
      </c>
      <c r="I55" t="s">
        <v>16</v>
      </c>
      <c r="J55" t="s">
        <v>24</v>
      </c>
      <c r="K55" s="4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5">
        <v>429399.73</v>
      </c>
      <c r="F56" s="4">
        <v>16701</v>
      </c>
      <c r="G56" s="4">
        <v>113</v>
      </c>
      <c r="H56" s="4">
        <v>0</v>
      </c>
      <c r="I56" t="s">
        <v>16</v>
      </c>
      <c r="J56" t="s">
        <v>17</v>
      </c>
      <c r="K56" s="4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5">
        <v>716439.55</v>
      </c>
      <c r="F57" s="4">
        <v>46623</v>
      </c>
      <c r="G57" s="4">
        <v>91</v>
      </c>
      <c r="H57" s="4">
        <v>0</v>
      </c>
      <c r="I57" t="s">
        <v>28</v>
      </c>
      <c r="J57" t="s">
        <v>17</v>
      </c>
      <c r="K57" s="4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5">
        <v>761951.58</v>
      </c>
      <c r="F58" s="4">
        <v>64749</v>
      </c>
      <c r="G58" s="4">
        <v>64</v>
      </c>
      <c r="H58" s="4">
        <v>0</v>
      </c>
      <c r="I58" t="s">
        <v>39</v>
      </c>
      <c r="J58" t="s">
        <v>17</v>
      </c>
      <c r="K58" s="4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5">
        <v>395800.28</v>
      </c>
      <c r="F59" s="4">
        <v>0</v>
      </c>
      <c r="G59" s="4">
        <v>101</v>
      </c>
      <c r="H59" s="4">
        <v>0</v>
      </c>
      <c r="I59" t="s">
        <v>16</v>
      </c>
      <c r="J59" t="s">
        <v>29</v>
      </c>
      <c r="K59" s="4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5">
        <v>449949.33</v>
      </c>
      <c r="F60" s="4">
        <v>16969</v>
      </c>
      <c r="G60" s="4">
        <v>124</v>
      </c>
      <c r="H60" s="4">
        <v>36557</v>
      </c>
      <c r="I60" t="s">
        <v>16</v>
      </c>
      <c r="J60" t="s">
        <v>29</v>
      </c>
      <c r="K60" s="4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5">
        <v>405956.74</v>
      </c>
      <c r="F61" s="4">
        <v>11621</v>
      </c>
      <c r="G61" s="4">
        <v>108</v>
      </c>
      <c r="H61" s="4">
        <v>0</v>
      </c>
      <c r="I61" t="s">
        <v>16</v>
      </c>
      <c r="J61" t="s">
        <v>17</v>
      </c>
      <c r="K61" s="4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5">
        <v>445811.34</v>
      </c>
      <c r="F62" s="4">
        <v>17622</v>
      </c>
      <c r="G62" s="4">
        <v>65</v>
      </c>
      <c r="H62" s="4">
        <v>36526</v>
      </c>
      <c r="I62" t="s">
        <v>16</v>
      </c>
      <c r="J62" t="s">
        <v>17</v>
      </c>
      <c r="K62" s="4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5">
        <v>811033.31</v>
      </c>
      <c r="F63" s="4">
        <v>11489</v>
      </c>
      <c r="G63" s="4">
        <v>105</v>
      </c>
      <c r="H63" s="4">
        <v>0</v>
      </c>
      <c r="I63" t="s">
        <v>16</v>
      </c>
      <c r="J63" t="s">
        <v>24</v>
      </c>
      <c r="K63" s="4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5">
        <v>333976.49</v>
      </c>
      <c r="F64" s="4">
        <v>0</v>
      </c>
      <c r="G64" s="4">
        <v>94</v>
      </c>
      <c r="H64" s="4">
        <v>0</v>
      </c>
      <c r="I64" t="s">
        <v>16</v>
      </c>
      <c r="J64" t="s">
        <v>24</v>
      </c>
      <c r="K64" s="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5">
        <v>2426101.7799999998</v>
      </c>
      <c r="F65" s="4">
        <v>66525</v>
      </c>
      <c r="G65" s="4">
        <v>100</v>
      </c>
      <c r="H65" s="4">
        <v>0</v>
      </c>
      <c r="I65" t="s">
        <v>16</v>
      </c>
      <c r="J65" t="s">
        <v>29</v>
      </c>
      <c r="K65" s="4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5">
        <v>661397.37</v>
      </c>
      <c r="F66" s="4">
        <v>0</v>
      </c>
      <c r="G66" s="4">
        <v>63</v>
      </c>
      <c r="H66" s="4">
        <v>0</v>
      </c>
      <c r="I66" t="s">
        <v>16</v>
      </c>
      <c r="J66" t="s">
        <v>17</v>
      </c>
      <c r="K66" s="4">
        <v>676.391482</v>
      </c>
      <c r="L66" s="2">
        <v>35676.391481999999</v>
      </c>
    </row>
    <row r="67" spans="1:12" x14ac:dyDescent="0.35">
      <c r="A67" t="s">
        <v>101</v>
      </c>
      <c r="B67" t="s">
        <v>13</v>
      </c>
      <c r="C67" t="s">
        <v>14</v>
      </c>
      <c r="D67" t="s">
        <v>35</v>
      </c>
      <c r="E67" s="5">
        <v>293069.34999999998</v>
      </c>
      <c r="F67" s="4">
        <v>33663</v>
      </c>
      <c r="G67" s="4">
        <v>73</v>
      </c>
      <c r="H67" s="4">
        <v>0</v>
      </c>
      <c r="I67" t="s">
        <v>16</v>
      </c>
      <c r="J67" t="s">
        <v>17</v>
      </c>
      <c r="K67" s="4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5">
        <v>867219.43</v>
      </c>
      <c r="F68" s="4">
        <v>22547</v>
      </c>
      <c r="G68" s="4">
        <v>112</v>
      </c>
      <c r="H68" s="4">
        <v>0</v>
      </c>
      <c r="I68" t="s">
        <v>28</v>
      </c>
      <c r="J68" t="s">
        <v>29</v>
      </c>
      <c r="K68" s="4">
        <v>537.6</v>
      </c>
      <c r="L68" s="2">
        <v>35537.599999999999</v>
      </c>
    </row>
    <row r="69" spans="1:12" x14ac:dyDescent="0.35">
      <c r="A69" t="s">
        <v>104</v>
      </c>
      <c r="B69" t="s">
        <v>19</v>
      </c>
      <c r="C69" t="s">
        <v>14</v>
      </c>
      <c r="D69" t="s">
        <v>31</v>
      </c>
      <c r="E69" s="5">
        <v>1163866.93</v>
      </c>
      <c r="F69" s="4">
        <v>61486</v>
      </c>
      <c r="G69" s="4">
        <v>97</v>
      </c>
      <c r="H69" s="4">
        <v>0</v>
      </c>
      <c r="I69" t="s">
        <v>16</v>
      </c>
      <c r="J69" t="s">
        <v>24</v>
      </c>
      <c r="K69" s="4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5">
        <v>684615.03</v>
      </c>
      <c r="F70" s="4">
        <v>0</v>
      </c>
      <c r="G70" s="4">
        <v>95</v>
      </c>
      <c r="H70" s="4">
        <v>0</v>
      </c>
      <c r="I70" t="s">
        <v>16</v>
      </c>
      <c r="J70" t="s">
        <v>24</v>
      </c>
      <c r="K70" s="4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5">
        <v>1172777.6499999999</v>
      </c>
      <c r="F71" s="4">
        <v>29879</v>
      </c>
      <c r="G71" s="4">
        <v>102</v>
      </c>
      <c r="H71" s="4">
        <v>0</v>
      </c>
      <c r="I71" t="s">
        <v>16</v>
      </c>
      <c r="J71" t="s">
        <v>17</v>
      </c>
      <c r="K71" s="4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5">
        <v>2264383.48</v>
      </c>
      <c r="F72" s="4">
        <v>93011</v>
      </c>
      <c r="G72" s="4">
        <v>113</v>
      </c>
      <c r="H72" s="4">
        <v>0</v>
      </c>
      <c r="I72" t="s">
        <v>16</v>
      </c>
      <c r="J72" t="s">
        <v>29</v>
      </c>
      <c r="K72" s="4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5">
        <v>261447.43</v>
      </c>
      <c r="F73" s="4">
        <v>65186</v>
      </c>
      <c r="G73" s="4">
        <v>65</v>
      </c>
      <c r="H73" s="4">
        <v>0</v>
      </c>
      <c r="I73" t="s">
        <v>16</v>
      </c>
      <c r="J73" t="s">
        <v>24</v>
      </c>
      <c r="K73" s="4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5">
        <v>245175.27</v>
      </c>
      <c r="F74" s="4">
        <v>26840</v>
      </c>
      <c r="G74" s="4">
        <v>64</v>
      </c>
      <c r="H74" s="4">
        <v>36557</v>
      </c>
      <c r="I74" t="s">
        <v>16</v>
      </c>
      <c r="J74" t="s">
        <v>17</v>
      </c>
      <c r="K74" s="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5">
        <v>678127.02</v>
      </c>
      <c r="F75" s="4">
        <v>0</v>
      </c>
      <c r="G75" s="4">
        <v>104</v>
      </c>
      <c r="H75" s="4">
        <v>36526</v>
      </c>
      <c r="I75" t="s">
        <v>16</v>
      </c>
      <c r="J75" t="s">
        <v>78</v>
      </c>
      <c r="K75" s="4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5">
        <v>497480.15</v>
      </c>
      <c r="F76" s="4">
        <v>75644</v>
      </c>
      <c r="G76" s="4">
        <v>65</v>
      </c>
      <c r="H76" s="4">
        <v>36586</v>
      </c>
      <c r="I76" t="s">
        <v>16</v>
      </c>
      <c r="J76" t="s">
        <v>24</v>
      </c>
      <c r="K76" s="4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5">
        <v>859160.49</v>
      </c>
      <c r="F77" s="4">
        <v>38984</v>
      </c>
      <c r="G77" s="4">
        <v>73</v>
      </c>
      <c r="H77" s="4">
        <v>0</v>
      </c>
      <c r="I77" t="s">
        <v>16</v>
      </c>
      <c r="J77" t="s">
        <v>17</v>
      </c>
      <c r="K77" s="4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5">
        <v>559216.14</v>
      </c>
      <c r="F78" s="4">
        <v>71811</v>
      </c>
      <c r="G78" s="4">
        <v>71</v>
      </c>
      <c r="H78" s="4">
        <v>0</v>
      </c>
      <c r="I78" t="s">
        <v>16</v>
      </c>
      <c r="J78" t="s">
        <v>17</v>
      </c>
      <c r="K78" s="4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5">
        <v>800947.28</v>
      </c>
      <c r="F79" s="4">
        <v>20961</v>
      </c>
      <c r="G79" s="4">
        <v>67</v>
      </c>
      <c r="H79" s="4">
        <v>0</v>
      </c>
      <c r="I79" t="s">
        <v>16</v>
      </c>
      <c r="J79" t="s">
        <v>17</v>
      </c>
      <c r="K79" s="4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5"/>
      <c r="F80" s="4">
        <v>41275</v>
      </c>
      <c r="G80" s="4">
        <v>96</v>
      </c>
      <c r="H80" s="4">
        <v>0</v>
      </c>
      <c r="I80" t="s">
        <v>16</v>
      </c>
      <c r="J80" t="s">
        <v>17</v>
      </c>
      <c r="K80" s="4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5">
        <v>5816655.3499999996</v>
      </c>
      <c r="F81" s="4">
        <v>61321</v>
      </c>
      <c r="G81" s="4">
        <v>186</v>
      </c>
      <c r="H81" s="4">
        <v>36526</v>
      </c>
      <c r="I81" t="s">
        <v>16</v>
      </c>
      <c r="J81" t="s">
        <v>117</v>
      </c>
      <c r="K81" s="4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5">
        <v>802522.94</v>
      </c>
      <c r="F82" s="4">
        <v>0</v>
      </c>
      <c r="G82" s="4">
        <v>77</v>
      </c>
      <c r="H82" s="4">
        <v>0</v>
      </c>
      <c r="I82" t="s">
        <v>16</v>
      </c>
      <c r="J82" t="s">
        <v>24</v>
      </c>
      <c r="K82" s="4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5">
        <v>578018.22</v>
      </c>
      <c r="F83" s="4">
        <v>51066</v>
      </c>
      <c r="G83" s="4">
        <v>74</v>
      </c>
      <c r="H83" s="4">
        <v>0</v>
      </c>
      <c r="I83" t="s">
        <v>16</v>
      </c>
      <c r="J83" t="s">
        <v>17</v>
      </c>
      <c r="K83" s="4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5">
        <v>411853.91</v>
      </c>
      <c r="F84" s="4">
        <v>34378</v>
      </c>
      <c r="G84" s="4">
        <v>102</v>
      </c>
      <c r="H84" s="4">
        <v>0</v>
      </c>
      <c r="I84" t="s">
        <v>16</v>
      </c>
      <c r="J84" t="s">
        <v>29</v>
      </c>
      <c r="K84" s="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5">
        <v>252307.02</v>
      </c>
      <c r="F85" s="4">
        <v>43072</v>
      </c>
      <c r="G85" s="4">
        <v>63</v>
      </c>
      <c r="H85" s="4">
        <v>0</v>
      </c>
      <c r="I85" t="s">
        <v>16</v>
      </c>
      <c r="J85" t="s">
        <v>17</v>
      </c>
      <c r="K85" s="4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5">
        <v>655421.64</v>
      </c>
      <c r="F86" s="4">
        <v>25222</v>
      </c>
      <c r="G86" s="4">
        <v>90</v>
      </c>
      <c r="H86" s="4">
        <v>0</v>
      </c>
      <c r="I86" t="s">
        <v>16</v>
      </c>
      <c r="J86" t="s">
        <v>17</v>
      </c>
      <c r="K86" s="4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5">
        <v>538275.19999999995</v>
      </c>
      <c r="F87" s="4">
        <v>77552</v>
      </c>
      <c r="G87" s="4">
        <v>68</v>
      </c>
      <c r="H87" s="4">
        <v>36526</v>
      </c>
      <c r="I87" t="s">
        <v>28</v>
      </c>
      <c r="J87" t="s">
        <v>17</v>
      </c>
      <c r="K87" s="4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5">
        <v>592672.93999999994</v>
      </c>
      <c r="F88" s="4">
        <v>23091</v>
      </c>
      <c r="G88" s="4">
        <v>96</v>
      </c>
      <c r="H88" s="4">
        <v>36647</v>
      </c>
      <c r="I88" t="s">
        <v>16</v>
      </c>
      <c r="J88" t="s">
        <v>17</v>
      </c>
      <c r="K88" s="4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5">
        <v>268347.07</v>
      </c>
      <c r="F89" s="4">
        <v>48269</v>
      </c>
      <c r="G89" s="4">
        <v>69</v>
      </c>
      <c r="H89" s="4">
        <v>36586</v>
      </c>
      <c r="I89" t="s">
        <v>28</v>
      </c>
      <c r="J89" t="s">
        <v>17</v>
      </c>
      <c r="K89" s="4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5">
        <v>269518.24</v>
      </c>
      <c r="F90" s="4">
        <v>32720</v>
      </c>
      <c r="G90" s="4">
        <v>67</v>
      </c>
      <c r="H90" s="4">
        <v>0</v>
      </c>
      <c r="I90" t="s">
        <v>16</v>
      </c>
      <c r="J90" t="s">
        <v>17</v>
      </c>
      <c r="K90" s="4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5">
        <v>604702.52</v>
      </c>
      <c r="F91" s="4">
        <v>20396</v>
      </c>
      <c r="G91" s="4">
        <v>76</v>
      </c>
      <c r="H91" s="4">
        <v>36526</v>
      </c>
      <c r="I91" t="s">
        <v>16</v>
      </c>
      <c r="J91" t="s">
        <v>17</v>
      </c>
      <c r="K91" s="4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5">
        <v>1317101.28</v>
      </c>
      <c r="F92" s="4">
        <v>21513</v>
      </c>
      <c r="G92" s="4">
        <v>119</v>
      </c>
      <c r="H92" s="4">
        <v>36526</v>
      </c>
      <c r="I92" t="s">
        <v>16</v>
      </c>
      <c r="J92" t="s">
        <v>24</v>
      </c>
      <c r="K92" s="4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5">
        <v>1595001.95</v>
      </c>
      <c r="F93" s="4">
        <v>0</v>
      </c>
      <c r="G93" s="4">
        <v>87</v>
      </c>
      <c r="H93" s="4">
        <v>36526</v>
      </c>
      <c r="I93" t="s">
        <v>16</v>
      </c>
      <c r="J93" t="s">
        <v>24</v>
      </c>
      <c r="K93" s="4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5">
        <v>252765.38</v>
      </c>
      <c r="F94" s="4">
        <v>80744</v>
      </c>
      <c r="G94" s="4">
        <v>63</v>
      </c>
      <c r="H94" s="4">
        <v>0</v>
      </c>
      <c r="I94" t="s">
        <v>28</v>
      </c>
      <c r="J94" t="s">
        <v>17</v>
      </c>
      <c r="K94" s="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5">
        <v>267209.58</v>
      </c>
      <c r="F95" s="4">
        <v>52822</v>
      </c>
      <c r="G95" s="4">
        <v>67</v>
      </c>
      <c r="H95" s="4">
        <v>0</v>
      </c>
      <c r="I95" t="s">
        <v>28</v>
      </c>
      <c r="J95" t="s">
        <v>24</v>
      </c>
      <c r="K95" s="4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5">
        <v>531329.4</v>
      </c>
      <c r="F96" s="4">
        <v>0</v>
      </c>
      <c r="G96" s="4">
        <v>77</v>
      </c>
      <c r="H96" s="4">
        <v>36526</v>
      </c>
      <c r="I96" t="s">
        <v>16</v>
      </c>
      <c r="J96" t="s">
        <v>17</v>
      </c>
      <c r="K96" s="4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5">
        <v>2094619.25</v>
      </c>
      <c r="F97" s="4">
        <v>69738</v>
      </c>
      <c r="G97" s="4">
        <v>74</v>
      </c>
      <c r="H97" s="4">
        <v>36526</v>
      </c>
      <c r="I97" t="s">
        <v>16</v>
      </c>
      <c r="J97" t="s">
        <v>17</v>
      </c>
      <c r="K97" s="4">
        <v>492.12753199999997</v>
      </c>
      <c r="L97" s="2">
        <v>35492.127531999999</v>
      </c>
    </row>
    <row r="98" spans="1:12" x14ac:dyDescent="0.35">
      <c r="A98" t="s">
        <v>134</v>
      </c>
      <c r="B98" t="s">
        <v>19</v>
      </c>
      <c r="C98" t="s">
        <v>14</v>
      </c>
      <c r="D98" t="s">
        <v>15</v>
      </c>
      <c r="E98" s="5">
        <v>837535.39</v>
      </c>
      <c r="F98" s="4">
        <v>17780</v>
      </c>
      <c r="G98" s="4">
        <v>109</v>
      </c>
      <c r="H98" s="4">
        <v>0</v>
      </c>
      <c r="I98" t="s">
        <v>16</v>
      </c>
      <c r="J98" t="s">
        <v>29</v>
      </c>
      <c r="K98" s="4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5">
        <v>480166.15</v>
      </c>
      <c r="F99" s="4">
        <v>18107</v>
      </c>
      <c r="G99" s="4">
        <v>62</v>
      </c>
      <c r="H99" s="4">
        <v>0</v>
      </c>
      <c r="I99" t="s">
        <v>16</v>
      </c>
      <c r="J99" t="s">
        <v>17</v>
      </c>
      <c r="K99" s="4">
        <v>297.60000000000002</v>
      </c>
      <c r="L99" s="2">
        <v>35297.599999999999</v>
      </c>
    </row>
    <row r="100" spans="1:12" x14ac:dyDescent="0.35">
      <c r="A100" t="s">
        <v>136</v>
      </c>
      <c r="B100" t="s">
        <v>19</v>
      </c>
      <c r="C100" t="s">
        <v>14</v>
      </c>
      <c r="D100" t="s">
        <v>21</v>
      </c>
      <c r="E100" s="5">
        <v>574594.32999999996</v>
      </c>
      <c r="F100" s="4">
        <v>57740</v>
      </c>
      <c r="G100" s="4">
        <v>74</v>
      </c>
      <c r="H100" s="4">
        <v>36586</v>
      </c>
      <c r="I100" t="s">
        <v>16</v>
      </c>
      <c r="J100" t="s">
        <v>17</v>
      </c>
      <c r="K100" s="4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5">
        <v>606611.6</v>
      </c>
      <c r="F101" s="4">
        <v>32627</v>
      </c>
      <c r="G101" s="4">
        <v>76</v>
      </c>
      <c r="H101" s="4">
        <v>0</v>
      </c>
      <c r="I101" t="s">
        <v>16</v>
      </c>
      <c r="J101" t="s">
        <v>24</v>
      </c>
      <c r="K101" s="4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5">
        <v>800230.83</v>
      </c>
      <c r="F102" s="4">
        <v>0</v>
      </c>
      <c r="G102" s="4">
        <v>107</v>
      </c>
      <c r="H102" s="4">
        <v>0</v>
      </c>
      <c r="I102" t="s">
        <v>16</v>
      </c>
      <c r="J102" t="s">
        <v>29</v>
      </c>
      <c r="K102" s="4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5">
        <v>239391.54</v>
      </c>
      <c r="F103" s="4">
        <v>0</v>
      </c>
      <c r="G103" s="4">
        <v>70</v>
      </c>
      <c r="H103" s="4">
        <v>0</v>
      </c>
      <c r="I103" t="s">
        <v>16</v>
      </c>
      <c r="J103" t="s">
        <v>17</v>
      </c>
      <c r="K103" s="4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5">
        <v>476281.79</v>
      </c>
      <c r="F104" s="4">
        <v>65795</v>
      </c>
      <c r="G104" s="4">
        <v>62</v>
      </c>
      <c r="H104" s="4">
        <v>36526</v>
      </c>
      <c r="I104" t="s">
        <v>28</v>
      </c>
      <c r="J104" t="s">
        <v>24</v>
      </c>
      <c r="K104" s="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5">
        <v>433038.6</v>
      </c>
      <c r="F105" s="4">
        <v>60475</v>
      </c>
      <c r="G105" s="4">
        <v>107</v>
      </c>
      <c r="H105" s="4">
        <v>0</v>
      </c>
      <c r="I105" t="s">
        <v>16</v>
      </c>
      <c r="J105" t="s">
        <v>17</v>
      </c>
      <c r="K105" s="4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5">
        <v>940272.98</v>
      </c>
      <c r="F106" s="4">
        <v>0</v>
      </c>
      <c r="G106" s="4">
        <v>130</v>
      </c>
      <c r="H106" s="4">
        <v>0</v>
      </c>
      <c r="I106" t="s">
        <v>16</v>
      </c>
      <c r="J106" t="s">
        <v>29</v>
      </c>
      <c r="K106" s="4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5">
        <v>696669.45</v>
      </c>
      <c r="F107" s="4">
        <v>41837</v>
      </c>
      <c r="G107" s="4">
        <v>88</v>
      </c>
      <c r="H107" s="4">
        <v>0</v>
      </c>
      <c r="I107" t="s">
        <v>16</v>
      </c>
      <c r="J107" t="s">
        <v>17</v>
      </c>
      <c r="K107" s="4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5">
        <v>769406.43</v>
      </c>
      <c r="F108" s="4">
        <v>32303</v>
      </c>
      <c r="G108" s="4">
        <v>65</v>
      </c>
      <c r="H108" s="4">
        <v>0</v>
      </c>
      <c r="I108" t="s">
        <v>16</v>
      </c>
      <c r="J108" t="s">
        <v>17</v>
      </c>
      <c r="K108" s="4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5">
        <v>871756.11</v>
      </c>
      <c r="F109" s="4">
        <v>0</v>
      </c>
      <c r="G109" s="4">
        <v>117</v>
      </c>
      <c r="H109" s="4">
        <v>36526</v>
      </c>
      <c r="I109" t="s">
        <v>16</v>
      </c>
      <c r="J109" t="s">
        <v>29</v>
      </c>
      <c r="K109" s="4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5">
        <v>592874.85</v>
      </c>
      <c r="F110" s="4">
        <v>40531</v>
      </c>
      <c r="G110" s="4">
        <v>74</v>
      </c>
      <c r="H110" s="4">
        <v>0</v>
      </c>
      <c r="I110" t="s">
        <v>16</v>
      </c>
      <c r="J110" t="s">
        <v>24</v>
      </c>
      <c r="K110" s="4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5">
        <v>245297.73</v>
      </c>
      <c r="F111" s="4">
        <v>79898</v>
      </c>
      <c r="G111" s="4">
        <v>62</v>
      </c>
      <c r="H111" s="4">
        <v>36526</v>
      </c>
      <c r="I111" t="s">
        <v>28</v>
      </c>
      <c r="J111" t="s">
        <v>17</v>
      </c>
      <c r="K111" s="4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5">
        <v>670157.17000000004</v>
      </c>
      <c r="F112" s="4">
        <v>56398</v>
      </c>
      <c r="G112" s="4">
        <v>85</v>
      </c>
      <c r="H112" s="4">
        <v>0</v>
      </c>
      <c r="I112" t="s">
        <v>16</v>
      </c>
      <c r="J112" t="s">
        <v>17</v>
      </c>
      <c r="K112" s="4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5">
        <v>499655.27</v>
      </c>
      <c r="F113" s="4">
        <v>71600</v>
      </c>
      <c r="G113" s="4">
        <v>63</v>
      </c>
      <c r="H113" s="4">
        <v>0</v>
      </c>
      <c r="I113" t="s">
        <v>16</v>
      </c>
      <c r="J113" t="s">
        <v>24</v>
      </c>
      <c r="K113" s="4">
        <v>46.158116999999997</v>
      </c>
      <c r="L113" s="2">
        <v>35046.158116999999</v>
      </c>
    </row>
    <row r="114" spans="1:12" x14ac:dyDescent="0.35">
      <c r="A114" t="s">
        <v>150</v>
      </c>
      <c r="B114" t="s">
        <v>19</v>
      </c>
      <c r="C114" t="s">
        <v>14</v>
      </c>
      <c r="D114" t="s">
        <v>35</v>
      </c>
      <c r="E114" s="5">
        <v>849269.88</v>
      </c>
      <c r="F114" s="4">
        <v>27804</v>
      </c>
      <c r="G114" s="4">
        <v>109</v>
      </c>
      <c r="H114" s="4">
        <v>0</v>
      </c>
      <c r="I114" t="s">
        <v>16</v>
      </c>
      <c r="J114" t="s">
        <v>29</v>
      </c>
      <c r="K114" s="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5">
        <v>771349.4</v>
      </c>
      <c r="F115" s="4">
        <v>45506</v>
      </c>
      <c r="G115" s="4">
        <v>66</v>
      </c>
      <c r="H115" s="4">
        <v>36557</v>
      </c>
      <c r="I115" t="s">
        <v>16</v>
      </c>
      <c r="J115" t="s">
        <v>17</v>
      </c>
      <c r="K115" s="4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5">
        <v>518579.76</v>
      </c>
      <c r="F116" s="4">
        <v>99428</v>
      </c>
      <c r="G116" s="4">
        <v>6464</v>
      </c>
      <c r="H116" s="4">
        <v>36526</v>
      </c>
      <c r="I116" t="s">
        <v>16</v>
      </c>
      <c r="J116" t="s">
        <v>17</v>
      </c>
      <c r="K116" s="4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5">
        <v>729006.98</v>
      </c>
      <c r="F117" s="4">
        <v>0</v>
      </c>
      <c r="G117" s="4">
        <v>102</v>
      </c>
      <c r="H117" s="4">
        <v>36526</v>
      </c>
      <c r="I117" t="s">
        <v>28</v>
      </c>
      <c r="J117" t="s">
        <v>29</v>
      </c>
      <c r="K117" s="4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5">
        <v>477294.38</v>
      </c>
      <c r="F118" s="4">
        <v>20993</v>
      </c>
      <c r="G118" s="4">
        <v>133</v>
      </c>
      <c r="H118" s="4">
        <v>0</v>
      </c>
      <c r="I118" t="s">
        <v>16</v>
      </c>
      <c r="J118" t="s">
        <v>29</v>
      </c>
      <c r="K118" s="4">
        <v>638.4</v>
      </c>
      <c r="L118" s="2">
        <v>35638.400000000001</v>
      </c>
    </row>
    <row r="119" spans="1:12" x14ac:dyDescent="0.35">
      <c r="A119" t="s">
        <v>155</v>
      </c>
      <c r="B119" t="s">
        <v>19</v>
      </c>
      <c r="C119" t="s">
        <v>14</v>
      </c>
      <c r="D119" t="s">
        <v>31</v>
      </c>
      <c r="E119" s="5">
        <v>680649.14</v>
      </c>
      <c r="F119" s="4">
        <v>37839</v>
      </c>
      <c r="G119" s="4">
        <v>86</v>
      </c>
      <c r="H119" s="4">
        <v>0</v>
      </c>
      <c r="I119" t="s">
        <v>16</v>
      </c>
      <c r="J119" t="s">
        <v>24</v>
      </c>
      <c r="K119" s="4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5">
        <v>246978.13</v>
      </c>
      <c r="F120" s="4">
        <v>92711</v>
      </c>
      <c r="G120" s="4">
        <v>62</v>
      </c>
      <c r="H120" s="4">
        <v>0</v>
      </c>
      <c r="I120" t="s">
        <v>16</v>
      </c>
      <c r="J120" t="s">
        <v>24</v>
      </c>
      <c r="K120" s="4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5">
        <v>310392.3</v>
      </c>
      <c r="F121" s="4">
        <v>74665</v>
      </c>
      <c r="G121" s="4">
        <v>78</v>
      </c>
      <c r="H121" s="4">
        <v>36557</v>
      </c>
      <c r="I121" t="s">
        <v>28</v>
      </c>
      <c r="J121" t="s">
        <v>17</v>
      </c>
      <c r="K121" s="4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5">
        <v>1048491.54</v>
      </c>
      <c r="F122" s="4">
        <v>61108</v>
      </c>
      <c r="G122" s="4">
        <v>89</v>
      </c>
      <c r="H122" s="4">
        <v>0</v>
      </c>
      <c r="I122" t="s">
        <v>16</v>
      </c>
      <c r="J122" t="s">
        <v>17</v>
      </c>
      <c r="K122" s="4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5">
        <v>890273.76</v>
      </c>
      <c r="F123" s="4">
        <v>46833</v>
      </c>
      <c r="G123" s="4">
        <v>112</v>
      </c>
      <c r="H123" s="4">
        <v>0</v>
      </c>
      <c r="I123" t="s">
        <v>16</v>
      </c>
      <c r="J123" t="s">
        <v>78</v>
      </c>
      <c r="K123" s="4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5">
        <v>549944.72</v>
      </c>
      <c r="F124" s="4">
        <v>88768</v>
      </c>
      <c r="G124" s="4">
        <v>68</v>
      </c>
      <c r="H124" s="4">
        <v>0</v>
      </c>
      <c r="I124" t="s">
        <v>16</v>
      </c>
      <c r="J124" t="s">
        <v>24</v>
      </c>
      <c r="K124" s="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5">
        <v>1502359.86</v>
      </c>
      <c r="F125" s="4">
        <v>28262</v>
      </c>
      <c r="G125" s="4">
        <v>192</v>
      </c>
      <c r="H125" s="4">
        <v>0</v>
      </c>
      <c r="I125" t="s">
        <v>16</v>
      </c>
      <c r="J125" t="s">
        <v>65</v>
      </c>
      <c r="K125" s="4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5">
        <v>250910.79</v>
      </c>
      <c r="F126" s="4">
        <v>33555</v>
      </c>
      <c r="G126" s="4">
        <v>63</v>
      </c>
      <c r="H126" s="4">
        <v>0</v>
      </c>
      <c r="I126" t="s">
        <v>16</v>
      </c>
      <c r="J126" t="s">
        <v>17</v>
      </c>
      <c r="K126" s="4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5">
        <v>3122174.81</v>
      </c>
      <c r="F127" s="4">
        <v>42780</v>
      </c>
      <c r="G127" s="4">
        <v>113</v>
      </c>
      <c r="H127" s="4">
        <v>36526</v>
      </c>
      <c r="I127" t="s">
        <v>16</v>
      </c>
      <c r="J127" t="s">
        <v>17</v>
      </c>
      <c r="K127" s="4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5">
        <v>313350.34000000003</v>
      </c>
      <c r="F128" s="4">
        <v>58850</v>
      </c>
      <c r="G128" s="4">
        <v>78</v>
      </c>
      <c r="H128" s="4">
        <v>0</v>
      </c>
      <c r="I128" t="s">
        <v>16</v>
      </c>
      <c r="J128" t="s">
        <v>17</v>
      </c>
      <c r="K128" s="4">
        <v>143.747794</v>
      </c>
      <c r="L128" s="2">
        <v>35143.747794000003</v>
      </c>
    </row>
    <row r="129" spans="1:12" x14ac:dyDescent="0.35">
      <c r="A129" t="s">
        <v>165</v>
      </c>
      <c r="B129" t="s">
        <v>19</v>
      </c>
      <c r="C129" t="s">
        <v>14</v>
      </c>
      <c r="D129" t="s">
        <v>35</v>
      </c>
      <c r="E129" s="5">
        <v>383745.19</v>
      </c>
      <c r="F129" s="4">
        <v>21880</v>
      </c>
      <c r="G129" s="4">
        <v>97</v>
      </c>
      <c r="H129" s="4">
        <v>0</v>
      </c>
      <c r="I129" t="s">
        <v>39</v>
      </c>
      <c r="J129" t="s">
        <v>17</v>
      </c>
      <c r="K129" s="4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5">
        <v>1179049.6200000001</v>
      </c>
      <c r="F130" s="4">
        <v>25251</v>
      </c>
      <c r="G130" s="4">
        <v>66</v>
      </c>
      <c r="H130" s="4">
        <v>0</v>
      </c>
      <c r="I130" t="s">
        <v>16</v>
      </c>
      <c r="J130" t="s">
        <v>17</v>
      </c>
      <c r="K130" s="4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5">
        <v>282986.39</v>
      </c>
      <c r="F131" s="4">
        <v>25317</v>
      </c>
      <c r="G131" s="4">
        <v>71</v>
      </c>
      <c r="H131" s="4">
        <v>0</v>
      </c>
      <c r="I131" t="s">
        <v>16</v>
      </c>
      <c r="J131" t="s">
        <v>24</v>
      </c>
      <c r="K131" s="4">
        <v>50.422181000000002</v>
      </c>
      <c r="L131" s="2">
        <v>35050.422181000002</v>
      </c>
    </row>
    <row r="132" spans="1:12" x14ac:dyDescent="0.35">
      <c r="A132" t="s">
        <v>168</v>
      </c>
      <c r="B132" t="s">
        <v>19</v>
      </c>
      <c r="C132" t="s">
        <v>14</v>
      </c>
      <c r="D132" t="s">
        <v>31</v>
      </c>
      <c r="E132" s="5">
        <v>430580.83</v>
      </c>
      <c r="F132" s="4">
        <v>24188</v>
      </c>
      <c r="G132" s="4">
        <v>109</v>
      </c>
      <c r="H132" s="4">
        <v>0</v>
      </c>
      <c r="I132" t="s">
        <v>16</v>
      </c>
      <c r="J132" t="s">
        <v>78</v>
      </c>
      <c r="K132" s="4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5">
        <v>597397.68999999994</v>
      </c>
      <c r="F133" s="4">
        <v>41611</v>
      </c>
      <c r="G133" s="4">
        <v>74</v>
      </c>
      <c r="H133" s="4">
        <v>0</v>
      </c>
      <c r="I133" t="s">
        <v>39</v>
      </c>
      <c r="J133" t="s">
        <v>17</v>
      </c>
      <c r="K133" s="4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5">
        <v>567044.24</v>
      </c>
      <c r="F134" s="4">
        <v>28406</v>
      </c>
      <c r="G134" s="4">
        <v>72</v>
      </c>
      <c r="H134" s="4">
        <v>36526</v>
      </c>
      <c r="I134" t="s">
        <v>16</v>
      </c>
      <c r="J134" t="s">
        <v>17</v>
      </c>
      <c r="K134" s="4">
        <v>192.87572</v>
      </c>
      <c r="L134" s="2">
        <v>35192.875719999996</v>
      </c>
    </row>
    <row r="135" spans="1:12" x14ac:dyDescent="0.35">
      <c r="A135" t="s">
        <v>171</v>
      </c>
      <c r="B135" t="s">
        <v>19</v>
      </c>
      <c r="C135" t="s">
        <v>14</v>
      </c>
      <c r="D135" t="s">
        <v>35</v>
      </c>
      <c r="E135" s="5">
        <v>473174.93</v>
      </c>
      <c r="F135" s="4">
        <v>69833</v>
      </c>
      <c r="G135" s="4">
        <v>118</v>
      </c>
      <c r="H135" s="4">
        <v>0</v>
      </c>
      <c r="I135" t="s">
        <v>16</v>
      </c>
      <c r="J135" t="s">
        <v>17</v>
      </c>
      <c r="K135" s="4">
        <v>828.66271900000004</v>
      </c>
      <c r="L135" s="2">
        <v>35828.662719</v>
      </c>
    </row>
    <row r="136" spans="1:12" x14ac:dyDescent="0.35">
      <c r="A136" t="s">
        <v>172</v>
      </c>
      <c r="B136" t="s">
        <v>19</v>
      </c>
      <c r="C136" t="s">
        <v>14</v>
      </c>
      <c r="D136" t="s">
        <v>31</v>
      </c>
      <c r="E136" s="5">
        <v>802637.96</v>
      </c>
      <c r="F136" s="4">
        <v>0</v>
      </c>
      <c r="G136" s="4">
        <v>74</v>
      </c>
      <c r="H136" s="4">
        <v>0</v>
      </c>
      <c r="I136" t="s">
        <v>28</v>
      </c>
      <c r="J136" t="s">
        <v>17</v>
      </c>
      <c r="K136" s="4">
        <v>532.79999999999995</v>
      </c>
      <c r="L136" s="2">
        <v>35532.800000000003</v>
      </c>
    </row>
    <row r="137" spans="1:12" x14ac:dyDescent="0.35">
      <c r="A137" t="s">
        <v>173</v>
      </c>
      <c r="B137" t="s">
        <v>19</v>
      </c>
      <c r="C137" t="s">
        <v>14</v>
      </c>
      <c r="D137" t="s">
        <v>31</v>
      </c>
      <c r="E137" s="5">
        <v>402296.35</v>
      </c>
      <c r="F137" s="4">
        <v>0</v>
      </c>
      <c r="G137" s="4">
        <v>117</v>
      </c>
      <c r="H137" s="4">
        <v>0</v>
      </c>
      <c r="I137" t="s">
        <v>16</v>
      </c>
      <c r="J137" t="s">
        <v>29</v>
      </c>
      <c r="K137" s="4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5">
        <v>961831.09</v>
      </c>
      <c r="F138" s="4">
        <v>80536</v>
      </c>
      <c r="G138" s="4">
        <v>119</v>
      </c>
      <c r="H138" s="4">
        <v>0</v>
      </c>
      <c r="I138" t="s">
        <v>39</v>
      </c>
      <c r="J138" t="s">
        <v>78</v>
      </c>
      <c r="K138" s="4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21</v>
      </c>
      <c r="E139" s="5">
        <v>725595.38</v>
      </c>
      <c r="F139" s="4">
        <v>88891</v>
      </c>
      <c r="G139" s="4">
        <v>89</v>
      </c>
      <c r="H139" s="4">
        <v>0</v>
      </c>
      <c r="I139" t="s">
        <v>16</v>
      </c>
      <c r="J139" t="s">
        <v>17</v>
      </c>
      <c r="K139" s="4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5">
        <v>955292.69</v>
      </c>
      <c r="F140" s="4">
        <v>97732</v>
      </c>
      <c r="G140" s="4">
        <v>79</v>
      </c>
      <c r="H140" s="4">
        <v>0</v>
      </c>
      <c r="I140" t="s">
        <v>16</v>
      </c>
      <c r="J140" t="s">
        <v>17</v>
      </c>
      <c r="K140" s="4">
        <v>289.91219999999998</v>
      </c>
      <c r="L140" s="2">
        <v>35289.912199999999</v>
      </c>
    </row>
    <row r="141" spans="1:12" x14ac:dyDescent="0.35">
      <c r="A141" t="s">
        <v>177</v>
      </c>
      <c r="B141" t="s">
        <v>19</v>
      </c>
      <c r="C141" t="s">
        <v>20</v>
      </c>
      <c r="D141" t="s">
        <v>21</v>
      </c>
      <c r="E141" s="5">
        <v>1038855.32</v>
      </c>
      <c r="F141" s="4">
        <v>61222</v>
      </c>
      <c r="G141" s="4">
        <v>89</v>
      </c>
      <c r="H141" s="4">
        <v>0</v>
      </c>
      <c r="I141" t="s">
        <v>39</v>
      </c>
      <c r="J141" t="s">
        <v>17</v>
      </c>
      <c r="K141" s="4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 s="4">
        <v>0</v>
      </c>
      <c r="G142" s="4">
        <v>74</v>
      </c>
      <c r="H142" s="4">
        <v>0</v>
      </c>
      <c r="I142" t="s">
        <v>16</v>
      </c>
      <c r="J142" t="s">
        <v>24</v>
      </c>
      <c r="K142" s="4">
        <v>721.24220600000001</v>
      </c>
      <c r="L142" s="2">
        <v>35721.242206000003</v>
      </c>
    </row>
    <row r="143" spans="1:12" x14ac:dyDescent="0.35">
      <c r="A143" t="s">
        <v>179</v>
      </c>
      <c r="B143" t="s">
        <v>19</v>
      </c>
      <c r="C143" t="s">
        <v>27</v>
      </c>
      <c r="D143" t="s">
        <v>15</v>
      </c>
      <c r="E143" s="5">
        <v>561906.85</v>
      </c>
      <c r="F143" s="4">
        <v>50335</v>
      </c>
      <c r="G143" s="4">
        <v>140</v>
      </c>
      <c r="H143" s="4">
        <v>0</v>
      </c>
      <c r="I143" t="s">
        <v>16</v>
      </c>
      <c r="J143" t="s">
        <v>29</v>
      </c>
      <c r="K143" s="4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5">
        <v>904711.92</v>
      </c>
      <c r="F144" s="4">
        <v>0</v>
      </c>
      <c r="G144" s="4">
        <v>127</v>
      </c>
      <c r="H144" s="4">
        <v>0</v>
      </c>
      <c r="I144" t="s">
        <v>16</v>
      </c>
      <c r="J144" t="s">
        <v>78</v>
      </c>
      <c r="K144" s="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5">
        <v>268731.40999999997</v>
      </c>
      <c r="F145" s="4">
        <v>82210</v>
      </c>
      <c r="G145" s="4">
        <v>68</v>
      </c>
      <c r="H145" s="4">
        <v>36617</v>
      </c>
      <c r="I145" t="s">
        <v>16</v>
      </c>
      <c r="J145" t="s">
        <v>17</v>
      </c>
      <c r="K145" s="4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5">
        <v>373150.46</v>
      </c>
      <c r="F146" s="4">
        <v>0</v>
      </c>
      <c r="G146" s="4">
        <v>96</v>
      </c>
      <c r="H146" s="4">
        <v>0</v>
      </c>
      <c r="I146" t="s">
        <v>16</v>
      </c>
      <c r="J146" t="s">
        <v>17</v>
      </c>
      <c r="K146" s="4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5">
        <v>366077.03</v>
      </c>
      <c r="F147" s="4">
        <v>64495</v>
      </c>
      <c r="G147" s="4">
        <v>92</v>
      </c>
      <c r="H147" s="4">
        <v>0</v>
      </c>
      <c r="I147" t="s">
        <v>28</v>
      </c>
      <c r="J147" t="s">
        <v>17</v>
      </c>
      <c r="K147" s="4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5">
        <v>792882.93</v>
      </c>
      <c r="F148" s="4">
        <v>0</v>
      </c>
      <c r="G148" s="4">
        <v>72</v>
      </c>
      <c r="H148" s="4">
        <v>0</v>
      </c>
      <c r="I148" t="s">
        <v>28</v>
      </c>
      <c r="J148" t="s">
        <v>17</v>
      </c>
      <c r="K148" s="4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5">
        <v>501175.16</v>
      </c>
      <c r="F149" s="4">
        <v>28859</v>
      </c>
      <c r="G149" s="4">
        <v>67</v>
      </c>
      <c r="H149" s="4">
        <v>36586</v>
      </c>
      <c r="I149" t="s">
        <v>28</v>
      </c>
      <c r="J149" t="s">
        <v>24</v>
      </c>
      <c r="K149" s="4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5">
        <v>798825.83</v>
      </c>
      <c r="F150" s="4">
        <v>77330</v>
      </c>
      <c r="G150" s="4">
        <v>99</v>
      </c>
      <c r="H150" s="4">
        <v>0</v>
      </c>
      <c r="I150" t="s">
        <v>16</v>
      </c>
      <c r="J150" t="s">
        <v>17</v>
      </c>
      <c r="K150" s="4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 s="4">
        <v>0</v>
      </c>
      <c r="G151" s="4">
        <v>105</v>
      </c>
      <c r="H151" s="4">
        <v>0</v>
      </c>
      <c r="I151" t="s">
        <v>28</v>
      </c>
      <c r="J151" t="s">
        <v>17</v>
      </c>
      <c r="K151" s="4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5">
        <v>935773.78</v>
      </c>
      <c r="F152" s="4">
        <v>33060</v>
      </c>
      <c r="G152" s="4">
        <v>117</v>
      </c>
      <c r="H152" s="4">
        <v>0</v>
      </c>
      <c r="I152" t="s">
        <v>16</v>
      </c>
      <c r="J152" t="s">
        <v>17</v>
      </c>
      <c r="K152" s="4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5">
        <v>254068.98</v>
      </c>
      <c r="F153" s="4">
        <v>42557</v>
      </c>
      <c r="G153" s="4">
        <v>65</v>
      </c>
      <c r="H153" s="4">
        <v>0</v>
      </c>
      <c r="I153" t="s">
        <v>16</v>
      </c>
      <c r="J153" t="s">
        <v>17</v>
      </c>
      <c r="K153" s="4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5">
        <v>488516.25</v>
      </c>
      <c r="F154" s="4">
        <v>26372</v>
      </c>
      <c r="G154" s="4">
        <v>126</v>
      </c>
      <c r="H154" s="4">
        <v>0</v>
      </c>
      <c r="I154" t="s">
        <v>16</v>
      </c>
      <c r="J154" t="s">
        <v>29</v>
      </c>
      <c r="K154" s="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5">
        <v>975330.71</v>
      </c>
      <c r="F155" s="4">
        <v>17514</v>
      </c>
      <c r="G155" s="4">
        <v>127</v>
      </c>
      <c r="H155" s="4">
        <v>0</v>
      </c>
      <c r="I155" t="s">
        <v>16</v>
      </c>
      <c r="J155" t="s">
        <v>29</v>
      </c>
      <c r="K155" s="4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20</v>
      </c>
      <c r="D156" t="s">
        <v>21</v>
      </c>
      <c r="E156" s="5">
        <v>294615.37</v>
      </c>
      <c r="F156" s="4">
        <v>89270</v>
      </c>
      <c r="G156" s="4">
        <v>74</v>
      </c>
      <c r="H156" s="4">
        <v>0</v>
      </c>
      <c r="I156" t="s">
        <v>16</v>
      </c>
      <c r="J156" t="s">
        <v>17</v>
      </c>
      <c r="K156" s="4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 s="4">
        <v>29757</v>
      </c>
      <c r="G157" s="4">
        <v>65</v>
      </c>
      <c r="H157" s="4">
        <v>0</v>
      </c>
      <c r="I157" t="s">
        <v>16</v>
      </c>
      <c r="J157" t="s">
        <v>17</v>
      </c>
      <c r="K157" s="4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 s="4">
        <v>51814</v>
      </c>
      <c r="G158" s="4">
        <v>92</v>
      </c>
      <c r="H158" s="4">
        <v>0</v>
      </c>
      <c r="I158" t="s">
        <v>16</v>
      </c>
      <c r="J158" t="s">
        <v>17</v>
      </c>
      <c r="K158" s="4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5">
        <v>974335.01</v>
      </c>
      <c r="F159" s="4">
        <v>24028</v>
      </c>
      <c r="G159" s="4">
        <v>82</v>
      </c>
      <c r="H159" s="4">
        <v>0</v>
      </c>
      <c r="I159" t="s">
        <v>16</v>
      </c>
      <c r="J159" t="s">
        <v>17</v>
      </c>
      <c r="K159" s="4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5">
        <v>387364.7</v>
      </c>
      <c r="F160" s="4">
        <v>28142</v>
      </c>
      <c r="G160" s="4">
        <v>105</v>
      </c>
      <c r="H160" s="4">
        <v>0</v>
      </c>
      <c r="I160" t="s">
        <v>16</v>
      </c>
      <c r="J160" t="s">
        <v>78</v>
      </c>
      <c r="K160" s="4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5">
        <v>764928.2</v>
      </c>
      <c r="F161" s="4">
        <v>52705</v>
      </c>
      <c r="G161" s="4">
        <v>64</v>
      </c>
      <c r="H161" s="4">
        <v>36526</v>
      </c>
      <c r="I161" t="s">
        <v>16</v>
      </c>
      <c r="J161" t="s">
        <v>24</v>
      </c>
      <c r="K161" s="4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 s="4">
        <v>0</v>
      </c>
      <c r="G162" s="4">
        <v>63</v>
      </c>
      <c r="H162" s="4">
        <v>0</v>
      </c>
      <c r="I162" t="s">
        <v>28</v>
      </c>
      <c r="J162" t="s">
        <v>24</v>
      </c>
      <c r="K162" s="4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5">
        <v>825576.39</v>
      </c>
      <c r="F163" s="4">
        <v>54040</v>
      </c>
      <c r="G163" s="4">
        <v>103</v>
      </c>
      <c r="H163" s="4">
        <v>0</v>
      </c>
      <c r="I163" t="s">
        <v>16</v>
      </c>
      <c r="J163" t="s">
        <v>29</v>
      </c>
      <c r="K163" s="4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5">
        <v>871492.21</v>
      </c>
      <c r="F164" s="4">
        <v>0</v>
      </c>
      <c r="G164" s="4">
        <v>118</v>
      </c>
      <c r="H164" s="4">
        <v>0</v>
      </c>
      <c r="I164" t="s">
        <v>16</v>
      </c>
      <c r="J164" t="s">
        <v>29</v>
      </c>
      <c r="K164" s="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5">
        <v>681923.12</v>
      </c>
      <c r="F165" s="4">
        <v>22492</v>
      </c>
      <c r="G165" s="4">
        <v>85</v>
      </c>
      <c r="H165" s="4">
        <v>0</v>
      </c>
      <c r="I165" t="s">
        <v>16</v>
      </c>
      <c r="J165" t="s">
        <v>24</v>
      </c>
      <c r="K165" s="4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5">
        <v>741619.73</v>
      </c>
      <c r="F166" s="4">
        <v>0</v>
      </c>
      <c r="G166" s="4">
        <v>77</v>
      </c>
      <c r="H166" s="4">
        <v>36557</v>
      </c>
      <c r="I166" t="s">
        <v>16</v>
      </c>
      <c r="J166" t="s">
        <v>17</v>
      </c>
      <c r="K166" s="4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5">
        <v>777115.9</v>
      </c>
      <c r="F167" s="4">
        <v>21876</v>
      </c>
      <c r="G167" s="4">
        <v>68</v>
      </c>
      <c r="H167" s="4">
        <v>0</v>
      </c>
      <c r="I167" t="s">
        <v>16</v>
      </c>
      <c r="J167" t="s">
        <v>17</v>
      </c>
      <c r="K167" s="4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5">
        <v>696834.19</v>
      </c>
      <c r="F168" s="4">
        <v>0</v>
      </c>
      <c r="G168" s="4">
        <v>69</v>
      </c>
      <c r="H168" s="4">
        <v>36526</v>
      </c>
      <c r="I168" t="s">
        <v>16</v>
      </c>
      <c r="J168" t="s">
        <v>17</v>
      </c>
      <c r="K168" s="4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5">
        <v>425028.26</v>
      </c>
      <c r="F169" s="4">
        <v>0</v>
      </c>
      <c r="G169" s="4">
        <v>61</v>
      </c>
      <c r="H169" s="4">
        <v>36526</v>
      </c>
      <c r="I169" t="s">
        <v>16</v>
      </c>
      <c r="J169" t="s">
        <v>17</v>
      </c>
      <c r="K169" s="4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5">
        <v>1977656.65</v>
      </c>
      <c r="F170" s="4">
        <v>70699</v>
      </c>
      <c r="G170" s="4">
        <v>82</v>
      </c>
      <c r="H170" s="4">
        <v>0</v>
      </c>
      <c r="I170" t="s">
        <v>16</v>
      </c>
      <c r="J170" t="s">
        <v>17</v>
      </c>
      <c r="K170" s="4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5">
        <v>2134346.6</v>
      </c>
      <c r="F171" s="4">
        <v>0</v>
      </c>
      <c r="G171" s="4">
        <v>74</v>
      </c>
      <c r="H171" s="4">
        <v>36526</v>
      </c>
      <c r="I171" t="s">
        <v>16</v>
      </c>
      <c r="J171" t="s">
        <v>17</v>
      </c>
      <c r="K171" s="4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 s="4">
        <v>27501</v>
      </c>
      <c r="G172" s="4">
        <v>63</v>
      </c>
      <c r="H172" s="4">
        <v>0</v>
      </c>
      <c r="I172" t="s">
        <v>16</v>
      </c>
      <c r="J172" t="s">
        <v>17</v>
      </c>
      <c r="K172" s="4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5">
        <v>1536384.72</v>
      </c>
      <c r="F173" s="4">
        <v>15897</v>
      </c>
      <c r="G173" s="4">
        <v>101</v>
      </c>
      <c r="H173" s="4">
        <v>0</v>
      </c>
      <c r="I173" t="s">
        <v>16</v>
      </c>
      <c r="J173" t="s">
        <v>17</v>
      </c>
      <c r="K173" s="4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5">
        <v>845696.19</v>
      </c>
      <c r="F174" s="4">
        <v>25141</v>
      </c>
      <c r="G174" s="4">
        <v>73</v>
      </c>
      <c r="H174" s="4">
        <v>36526</v>
      </c>
      <c r="I174" t="s">
        <v>16</v>
      </c>
      <c r="J174" t="s">
        <v>17</v>
      </c>
      <c r="K174" s="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5">
        <v>218964.25</v>
      </c>
      <c r="F175" s="4">
        <v>0</v>
      </c>
      <c r="G175" s="4">
        <v>61</v>
      </c>
      <c r="H175" s="4">
        <v>36586</v>
      </c>
      <c r="I175" t="s">
        <v>16</v>
      </c>
      <c r="J175" t="s">
        <v>17</v>
      </c>
      <c r="K175" s="4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 s="4">
        <v>51066</v>
      </c>
      <c r="G176" s="4">
        <v>74</v>
      </c>
      <c r="H176" s="4">
        <v>0</v>
      </c>
      <c r="I176" t="s">
        <v>16</v>
      </c>
      <c r="J176" t="s">
        <v>17</v>
      </c>
      <c r="K176" s="4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5">
        <v>463998.16</v>
      </c>
      <c r="F177" s="4">
        <v>28358</v>
      </c>
      <c r="G177" s="4">
        <v>117</v>
      </c>
      <c r="H177" s="4">
        <v>0</v>
      </c>
      <c r="I177" t="s">
        <v>16</v>
      </c>
      <c r="J177" t="s">
        <v>78</v>
      </c>
      <c r="K177" s="4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5">
        <v>382443.13</v>
      </c>
      <c r="F178" s="4">
        <v>62530</v>
      </c>
      <c r="G178" s="4">
        <v>95</v>
      </c>
      <c r="H178" s="4">
        <v>0</v>
      </c>
      <c r="I178" t="s">
        <v>16</v>
      </c>
      <c r="J178" t="s">
        <v>17</v>
      </c>
      <c r="K178" s="4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5">
        <v>596811.89</v>
      </c>
      <c r="F179" s="4">
        <v>90972</v>
      </c>
      <c r="G179" s="4">
        <v>74</v>
      </c>
      <c r="H179" s="4">
        <v>0</v>
      </c>
      <c r="I179" t="s">
        <v>16</v>
      </c>
      <c r="J179" t="s">
        <v>24</v>
      </c>
      <c r="K179" s="4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5">
        <v>859033.5</v>
      </c>
      <c r="F180" s="4">
        <v>63110</v>
      </c>
      <c r="G180" s="4">
        <v>72</v>
      </c>
      <c r="H180" s="4">
        <v>0</v>
      </c>
      <c r="I180" t="s">
        <v>16</v>
      </c>
      <c r="J180" t="s">
        <v>17</v>
      </c>
      <c r="K180" s="4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5">
        <v>407663.47</v>
      </c>
      <c r="F181" s="4">
        <v>29549</v>
      </c>
      <c r="G181" s="4">
        <v>104</v>
      </c>
      <c r="H181" s="4">
        <v>0</v>
      </c>
      <c r="I181" t="s">
        <v>16</v>
      </c>
      <c r="J181" t="s">
        <v>78</v>
      </c>
      <c r="K181" s="4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5">
        <v>1225260.18</v>
      </c>
      <c r="F182" s="4">
        <v>0</v>
      </c>
      <c r="G182" s="4">
        <v>115</v>
      </c>
      <c r="H182" s="4">
        <v>36526</v>
      </c>
      <c r="I182" t="s">
        <v>16</v>
      </c>
      <c r="J182" t="s">
        <v>17</v>
      </c>
      <c r="K182" s="4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5">
        <v>1693627.15</v>
      </c>
      <c r="F183" s="4">
        <v>39411</v>
      </c>
      <c r="G183" s="4">
        <v>217</v>
      </c>
      <c r="H183" s="4">
        <v>36557</v>
      </c>
      <c r="I183" t="s">
        <v>16</v>
      </c>
      <c r="J183" t="s">
        <v>117</v>
      </c>
      <c r="K183" s="4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 s="4">
        <v>21709</v>
      </c>
      <c r="G184" s="4">
        <v>62</v>
      </c>
      <c r="H184" s="4">
        <v>0</v>
      </c>
      <c r="I184" t="s">
        <v>16</v>
      </c>
      <c r="J184" t="s">
        <v>17</v>
      </c>
      <c r="K184" s="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5">
        <v>994230.48</v>
      </c>
      <c r="F185" s="4">
        <v>67890</v>
      </c>
      <c r="G185" s="4">
        <v>85</v>
      </c>
      <c r="H185" s="4">
        <v>0</v>
      </c>
      <c r="I185" t="s">
        <v>16</v>
      </c>
      <c r="J185" t="s">
        <v>17</v>
      </c>
      <c r="K185" s="4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5">
        <v>373583.81</v>
      </c>
      <c r="F186" s="4">
        <v>0</v>
      </c>
      <c r="G186" s="4">
        <v>110</v>
      </c>
      <c r="H186" s="4">
        <v>0</v>
      </c>
      <c r="I186" t="s">
        <v>16</v>
      </c>
      <c r="J186" t="s">
        <v>29</v>
      </c>
      <c r="K186" s="4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5">
        <v>1311752.22</v>
      </c>
      <c r="F187" s="4">
        <v>84311</v>
      </c>
      <c r="G187" s="4">
        <v>111</v>
      </c>
      <c r="H187" s="4">
        <v>36617</v>
      </c>
      <c r="I187" t="s">
        <v>16</v>
      </c>
      <c r="J187" t="s">
        <v>29</v>
      </c>
      <c r="K187" s="4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5">
        <v>457452.41</v>
      </c>
      <c r="F188" s="4">
        <v>99316</v>
      </c>
      <c r="G188" s="4">
        <v>114</v>
      </c>
      <c r="H188" s="4">
        <v>0</v>
      </c>
      <c r="I188" t="s">
        <v>28</v>
      </c>
      <c r="J188" t="s">
        <v>29</v>
      </c>
      <c r="K188" s="4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5">
        <v>547006.06000000006</v>
      </c>
      <c r="F189" s="4">
        <v>54507</v>
      </c>
      <c r="G189" s="4">
        <v>138</v>
      </c>
      <c r="H189" s="4">
        <v>0</v>
      </c>
      <c r="I189" t="s">
        <v>16</v>
      </c>
      <c r="J189" t="s">
        <v>29</v>
      </c>
      <c r="K189" s="4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5">
        <v>297884.59999999998</v>
      </c>
      <c r="F190" s="4">
        <v>64586</v>
      </c>
      <c r="G190" s="4">
        <v>76</v>
      </c>
      <c r="H190" s="4">
        <v>0</v>
      </c>
      <c r="I190" t="s">
        <v>16</v>
      </c>
      <c r="J190" t="s">
        <v>17</v>
      </c>
      <c r="K190" s="4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 s="4">
        <v>61709</v>
      </c>
      <c r="G191" s="4">
        <v>82</v>
      </c>
      <c r="H191" s="4">
        <v>36557</v>
      </c>
      <c r="I191" t="s">
        <v>16</v>
      </c>
      <c r="J191" t="s">
        <v>17</v>
      </c>
      <c r="K191" s="4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5">
        <v>447902.31</v>
      </c>
      <c r="F192" s="4">
        <v>94656</v>
      </c>
      <c r="G192" s="4">
        <v>111</v>
      </c>
      <c r="H192" s="4">
        <v>36526</v>
      </c>
      <c r="I192" t="s">
        <v>39</v>
      </c>
      <c r="J192" t="s">
        <v>29</v>
      </c>
      <c r="K192" s="4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5">
        <v>238373.19</v>
      </c>
      <c r="F193" s="4">
        <v>0</v>
      </c>
      <c r="G193" s="4">
        <v>69</v>
      </c>
      <c r="H193" s="4">
        <v>0</v>
      </c>
      <c r="I193" t="s">
        <v>39</v>
      </c>
      <c r="J193" t="s">
        <v>24</v>
      </c>
      <c r="K193" s="4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5">
        <v>276449.37</v>
      </c>
      <c r="F194" s="4">
        <v>61085</v>
      </c>
      <c r="G194" s="4">
        <v>70</v>
      </c>
      <c r="H194" s="4">
        <v>36526</v>
      </c>
      <c r="I194" t="s">
        <v>16</v>
      </c>
      <c r="J194" t="s">
        <v>24</v>
      </c>
      <c r="K194" s="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5">
        <v>792010.54</v>
      </c>
      <c r="F195" s="4">
        <v>89284</v>
      </c>
      <c r="G195" s="4">
        <v>67</v>
      </c>
      <c r="H195" s="4">
        <v>36586</v>
      </c>
      <c r="I195" t="s">
        <v>16</v>
      </c>
      <c r="J195" t="s">
        <v>24</v>
      </c>
      <c r="K195" s="4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5">
        <v>688909.8</v>
      </c>
      <c r="F196" s="4">
        <v>0</v>
      </c>
      <c r="G196" s="4">
        <v>63</v>
      </c>
      <c r="H196" s="4">
        <v>0</v>
      </c>
      <c r="I196" t="s">
        <v>16</v>
      </c>
      <c r="J196" t="s">
        <v>17</v>
      </c>
      <c r="K196" s="4">
        <v>302.39999999999998</v>
      </c>
      <c r="L196" s="2">
        <v>35302.400000000001</v>
      </c>
    </row>
    <row r="197" spans="1:12" x14ac:dyDescent="0.35">
      <c r="A197" t="s">
        <v>234</v>
      </c>
      <c r="B197" t="s">
        <v>13</v>
      </c>
      <c r="C197" t="s">
        <v>20</v>
      </c>
      <c r="D197" t="s">
        <v>21</v>
      </c>
      <c r="E197" s="5">
        <v>327419.46000000002</v>
      </c>
      <c r="F197" s="4">
        <v>31686</v>
      </c>
      <c r="G197" s="4">
        <v>81</v>
      </c>
      <c r="H197" s="4">
        <v>0</v>
      </c>
      <c r="I197" t="s">
        <v>16</v>
      </c>
      <c r="J197" t="s">
        <v>17</v>
      </c>
      <c r="K197" s="4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 s="4">
        <v>56855</v>
      </c>
      <c r="G198" s="4">
        <v>255</v>
      </c>
      <c r="H198" s="4">
        <v>0</v>
      </c>
      <c r="I198" t="s">
        <v>28</v>
      </c>
      <c r="J198" t="s">
        <v>65</v>
      </c>
      <c r="K198" s="4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5">
        <v>252155.57</v>
      </c>
      <c r="F199" s="4">
        <v>53703</v>
      </c>
      <c r="G199" s="4">
        <v>67</v>
      </c>
      <c r="H199" s="4">
        <v>36557</v>
      </c>
      <c r="I199" t="s">
        <v>39</v>
      </c>
      <c r="J199" t="s">
        <v>17</v>
      </c>
      <c r="K199" s="4">
        <v>67.632475999999997</v>
      </c>
      <c r="L199" s="2">
        <v>35067.632475999999</v>
      </c>
    </row>
    <row r="200" spans="1:12" x14ac:dyDescent="0.35">
      <c r="A200" t="s">
        <v>237</v>
      </c>
      <c r="B200" t="s">
        <v>13</v>
      </c>
      <c r="C200" t="s">
        <v>20</v>
      </c>
      <c r="D200" t="s">
        <v>31</v>
      </c>
      <c r="E200" s="5">
        <v>2370611.34</v>
      </c>
      <c r="F200" s="4">
        <v>0</v>
      </c>
      <c r="G200" s="4">
        <v>96</v>
      </c>
      <c r="H200" s="4">
        <v>36526</v>
      </c>
      <c r="I200" t="s">
        <v>16</v>
      </c>
      <c r="J200" t="s">
        <v>24</v>
      </c>
      <c r="K200" s="4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 s="4">
        <v>20396</v>
      </c>
      <c r="G201" s="4">
        <v>76</v>
      </c>
      <c r="H201" s="4">
        <v>36526</v>
      </c>
      <c r="I201" t="s">
        <v>16</v>
      </c>
      <c r="J201" t="s">
        <v>17</v>
      </c>
      <c r="K201" s="4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5">
        <v>1114030.25</v>
      </c>
      <c r="F202" s="4">
        <v>27679</v>
      </c>
      <c r="G202" s="4">
        <v>150</v>
      </c>
      <c r="H202" s="4">
        <v>0</v>
      </c>
      <c r="I202" t="s">
        <v>16</v>
      </c>
      <c r="J202" t="s">
        <v>29</v>
      </c>
      <c r="K202" s="4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5">
        <v>433406.41</v>
      </c>
      <c r="F203" s="4">
        <v>23904</v>
      </c>
      <c r="G203" s="4">
        <v>123</v>
      </c>
      <c r="H203" s="4">
        <v>36586</v>
      </c>
      <c r="I203" t="s">
        <v>16</v>
      </c>
      <c r="J203" t="s">
        <v>29</v>
      </c>
      <c r="K203" s="4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5">
        <v>279974.78999999998</v>
      </c>
      <c r="F204" s="4">
        <v>65351</v>
      </c>
      <c r="G204" s="4">
        <v>69</v>
      </c>
      <c r="H204" s="4">
        <v>0</v>
      </c>
      <c r="I204" t="s">
        <v>28</v>
      </c>
      <c r="J204" t="s">
        <v>17</v>
      </c>
      <c r="K204" s="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 s="4">
        <v>0</v>
      </c>
      <c r="G205" s="4">
        <v>113</v>
      </c>
      <c r="H205" s="4">
        <v>0</v>
      </c>
      <c r="I205" t="s">
        <v>16</v>
      </c>
      <c r="J205" t="s">
        <v>29</v>
      </c>
      <c r="K205" s="4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 s="4">
        <v>0</v>
      </c>
      <c r="G206" s="4">
        <v>63</v>
      </c>
      <c r="H206" s="4">
        <v>36586</v>
      </c>
      <c r="I206" t="s">
        <v>16</v>
      </c>
      <c r="J206" t="s">
        <v>17</v>
      </c>
      <c r="K206" s="4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 s="4">
        <v>0</v>
      </c>
      <c r="G207" s="4">
        <v>116</v>
      </c>
      <c r="H207" s="4">
        <v>0</v>
      </c>
      <c r="I207" t="s">
        <v>16</v>
      </c>
      <c r="J207" t="s">
        <v>29</v>
      </c>
      <c r="K207" s="4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5">
        <v>292497.67</v>
      </c>
      <c r="F208" s="4">
        <v>64459</v>
      </c>
      <c r="G208" s="4">
        <v>72</v>
      </c>
      <c r="H208" s="4">
        <v>0</v>
      </c>
      <c r="I208" t="s">
        <v>16</v>
      </c>
      <c r="J208" t="s">
        <v>17</v>
      </c>
      <c r="K208" s="4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 s="4">
        <v>32961</v>
      </c>
      <c r="G209" s="4">
        <v>190</v>
      </c>
      <c r="H209" s="4">
        <v>0</v>
      </c>
      <c r="I209" t="s">
        <v>28</v>
      </c>
      <c r="J209" t="s">
        <v>29</v>
      </c>
      <c r="K209" s="4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5">
        <v>927723.38</v>
      </c>
      <c r="F210" s="4">
        <v>71416</v>
      </c>
      <c r="G210" s="4">
        <v>116</v>
      </c>
      <c r="H210" s="4">
        <v>0</v>
      </c>
      <c r="I210" t="s">
        <v>28</v>
      </c>
      <c r="J210" t="s">
        <v>29</v>
      </c>
      <c r="K210" s="4">
        <v>556.79999999999995</v>
      </c>
      <c r="L210" s="2">
        <v>35556.800000000003</v>
      </c>
    </row>
    <row r="211" spans="1:12" x14ac:dyDescent="0.35">
      <c r="A211" t="s">
        <v>248</v>
      </c>
      <c r="B211" t="s">
        <v>13</v>
      </c>
      <c r="C211" t="s">
        <v>20</v>
      </c>
      <c r="D211" t="s">
        <v>21</v>
      </c>
      <c r="E211" s="5">
        <v>627412.39</v>
      </c>
      <c r="F211" s="4">
        <v>68964</v>
      </c>
      <c r="G211" s="4">
        <v>78</v>
      </c>
      <c r="H211" s="4">
        <v>0</v>
      </c>
      <c r="I211" t="s">
        <v>16</v>
      </c>
      <c r="J211" t="s">
        <v>17</v>
      </c>
      <c r="K211" s="4">
        <v>115.086827</v>
      </c>
      <c r="L211" s="2">
        <v>35115.086826999999</v>
      </c>
    </row>
    <row r="212" spans="1:12" x14ac:dyDescent="0.35">
      <c r="A212" t="s">
        <v>249</v>
      </c>
      <c r="B212" t="s">
        <v>26</v>
      </c>
      <c r="C212" t="s">
        <v>27</v>
      </c>
      <c r="D212" t="s">
        <v>31</v>
      </c>
      <c r="E212" s="5">
        <v>388664.74</v>
      </c>
      <c r="F212" s="4">
        <v>78108</v>
      </c>
      <c r="G212" s="4">
        <v>98</v>
      </c>
      <c r="H212" s="4">
        <v>0</v>
      </c>
      <c r="I212" t="s">
        <v>16</v>
      </c>
      <c r="J212" t="s">
        <v>24</v>
      </c>
      <c r="K212" s="4">
        <v>470.4</v>
      </c>
      <c r="L212" s="2">
        <v>35470.400000000001</v>
      </c>
    </row>
    <row r="213" spans="1:12" x14ac:dyDescent="0.35">
      <c r="A213" t="s">
        <v>250</v>
      </c>
      <c r="B213" t="s">
        <v>26</v>
      </c>
      <c r="C213" t="s">
        <v>27</v>
      </c>
      <c r="D213" t="s">
        <v>35</v>
      </c>
      <c r="E213" s="5">
        <v>438627.76</v>
      </c>
      <c r="F213" s="4">
        <v>10621</v>
      </c>
      <c r="G213" s="4">
        <v>67</v>
      </c>
      <c r="H213" s="4">
        <v>0</v>
      </c>
      <c r="I213" t="s">
        <v>39</v>
      </c>
      <c r="J213" t="s">
        <v>17</v>
      </c>
      <c r="K213" s="4">
        <v>321.60000000000002</v>
      </c>
      <c r="L213" s="2">
        <v>35321.599999999999</v>
      </c>
    </row>
    <row r="214" spans="1:12" x14ac:dyDescent="0.35">
      <c r="A214" t="s">
        <v>251</v>
      </c>
      <c r="B214" t="s">
        <v>13</v>
      </c>
      <c r="C214" t="s">
        <v>27</v>
      </c>
      <c r="D214" t="s">
        <v>35</v>
      </c>
      <c r="E214" s="5">
        <v>1136526.77</v>
      </c>
      <c r="F214" s="4">
        <v>84910</v>
      </c>
      <c r="G214" s="4">
        <v>95</v>
      </c>
      <c r="H214" s="4">
        <v>0</v>
      </c>
      <c r="I214" t="s">
        <v>28</v>
      </c>
      <c r="J214" t="s">
        <v>24</v>
      </c>
      <c r="K214" s="4">
        <v>383.16747099999998</v>
      </c>
      <c r="L214" s="2">
        <v>35383.167471000001</v>
      </c>
    </row>
    <row r="215" spans="1:12" x14ac:dyDescent="0.35">
      <c r="A215" t="s">
        <v>252</v>
      </c>
      <c r="B215" t="s">
        <v>26</v>
      </c>
      <c r="C215" t="s">
        <v>20</v>
      </c>
      <c r="D215" t="s">
        <v>31</v>
      </c>
      <c r="E215" s="5">
        <v>561096.43000000005</v>
      </c>
      <c r="F215" s="4">
        <v>77493</v>
      </c>
      <c r="G215" s="4">
        <v>70</v>
      </c>
      <c r="H215" s="4">
        <v>0</v>
      </c>
      <c r="I215" t="s">
        <v>39</v>
      </c>
      <c r="J215" t="s">
        <v>17</v>
      </c>
      <c r="K215" s="4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5">
        <v>291289.2</v>
      </c>
      <c r="F216" s="4">
        <v>81097</v>
      </c>
      <c r="G216" s="4">
        <v>74</v>
      </c>
      <c r="H216" s="4">
        <v>0</v>
      </c>
      <c r="I216" t="s">
        <v>16</v>
      </c>
      <c r="J216" t="s">
        <v>17</v>
      </c>
      <c r="K216" s="4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20</v>
      </c>
      <c r="D217" t="s">
        <v>35</v>
      </c>
      <c r="E217" s="5">
        <v>691572.99</v>
      </c>
      <c r="F217" s="4">
        <v>96610</v>
      </c>
      <c r="G217" s="4">
        <v>85</v>
      </c>
      <c r="H217" s="4">
        <v>0</v>
      </c>
      <c r="I217" t="s">
        <v>28</v>
      </c>
      <c r="J217" t="s">
        <v>17</v>
      </c>
      <c r="K217" s="4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 s="4">
        <v>30110</v>
      </c>
      <c r="G218" s="4">
        <v>159</v>
      </c>
      <c r="H218" s="4">
        <v>0</v>
      </c>
      <c r="I218" t="s">
        <v>28</v>
      </c>
      <c r="J218" t="s">
        <v>78</v>
      </c>
      <c r="K218" s="4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20</v>
      </c>
      <c r="D219" t="s">
        <v>31</v>
      </c>
      <c r="E219" s="5">
        <v>650339.69999999995</v>
      </c>
      <c r="F219" s="4">
        <v>22081</v>
      </c>
      <c r="G219" s="4">
        <v>84</v>
      </c>
      <c r="H219" s="4">
        <v>0</v>
      </c>
      <c r="I219" t="s">
        <v>39</v>
      </c>
      <c r="J219" t="s">
        <v>24</v>
      </c>
      <c r="K219" s="4">
        <v>451.67030899999997</v>
      </c>
      <c r="L219" s="2">
        <v>35451.670309000001</v>
      </c>
    </row>
    <row r="220" spans="1:12" x14ac:dyDescent="0.35">
      <c r="A220" t="s">
        <v>257</v>
      </c>
      <c r="B220" t="s">
        <v>13</v>
      </c>
      <c r="C220" t="s">
        <v>20</v>
      </c>
      <c r="D220" t="s">
        <v>31</v>
      </c>
      <c r="E220" s="5">
        <v>800739.94</v>
      </c>
      <c r="F220" s="4">
        <v>0</v>
      </c>
      <c r="G220" s="4">
        <v>112</v>
      </c>
      <c r="H220" s="4">
        <v>0</v>
      </c>
      <c r="I220" t="s">
        <v>16</v>
      </c>
      <c r="J220" t="s">
        <v>78</v>
      </c>
      <c r="K220" s="4">
        <v>537.6</v>
      </c>
      <c r="L220" s="2">
        <v>35537.599999999999</v>
      </c>
    </row>
    <row r="221" spans="1:12" x14ac:dyDescent="0.35">
      <c r="A221" t="s">
        <v>258</v>
      </c>
      <c r="B221" t="s">
        <v>26</v>
      </c>
      <c r="C221" t="s">
        <v>27</v>
      </c>
      <c r="D221" t="s">
        <v>35</v>
      </c>
      <c r="E221" s="5">
        <v>292991.65000000002</v>
      </c>
      <c r="F221" s="4">
        <v>98473</v>
      </c>
      <c r="G221" s="4">
        <v>72</v>
      </c>
      <c r="H221" s="4">
        <v>0</v>
      </c>
      <c r="I221" t="s">
        <v>16</v>
      </c>
      <c r="J221" t="s">
        <v>17</v>
      </c>
      <c r="K221" s="4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20</v>
      </c>
      <c r="D222" t="s">
        <v>21</v>
      </c>
      <c r="E222" s="5">
        <v>596955.30000000005</v>
      </c>
      <c r="F222" s="4">
        <v>97431</v>
      </c>
      <c r="G222" s="4">
        <v>74</v>
      </c>
      <c r="H222" s="4">
        <v>0</v>
      </c>
      <c r="I222" t="s">
        <v>16</v>
      </c>
      <c r="J222" t="s">
        <v>17</v>
      </c>
      <c r="K222" s="4">
        <v>355.2</v>
      </c>
      <c r="L222" s="2">
        <v>35355.199999999997</v>
      </c>
    </row>
    <row r="223" spans="1:12" x14ac:dyDescent="0.35">
      <c r="A223" t="s">
        <v>260</v>
      </c>
      <c r="B223" t="s">
        <v>26</v>
      </c>
      <c r="C223" t="s">
        <v>27</v>
      </c>
      <c r="D223" t="s">
        <v>21</v>
      </c>
      <c r="E223" s="5">
        <v>547315.99</v>
      </c>
      <c r="F223" s="4">
        <v>93870</v>
      </c>
      <c r="G223" s="4">
        <v>69</v>
      </c>
      <c r="H223" s="4">
        <v>0</v>
      </c>
      <c r="I223" t="s">
        <v>16</v>
      </c>
      <c r="J223" t="s">
        <v>17</v>
      </c>
      <c r="K223" s="4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 s="4">
        <v>50366</v>
      </c>
      <c r="G224" s="4">
        <v>72</v>
      </c>
      <c r="H224" s="4">
        <v>0</v>
      </c>
      <c r="I224" t="s">
        <v>16</v>
      </c>
      <c r="J224" t="s">
        <v>17</v>
      </c>
      <c r="K224" s="4">
        <v>428.73465599999997</v>
      </c>
      <c r="L224" s="2">
        <v>35428.734656000001</v>
      </c>
    </row>
    <row r="225" spans="1:12" x14ac:dyDescent="0.35">
      <c r="A225" t="s">
        <v>262</v>
      </c>
      <c r="B225" t="s">
        <v>13</v>
      </c>
      <c r="C225" t="s">
        <v>27</v>
      </c>
      <c r="D225" t="s">
        <v>31</v>
      </c>
      <c r="E225" s="5">
        <v>636926.24</v>
      </c>
      <c r="F225" s="4">
        <v>34498</v>
      </c>
      <c r="G225" s="4">
        <v>83</v>
      </c>
      <c r="H225" s="4">
        <v>0</v>
      </c>
      <c r="I225" t="s">
        <v>16</v>
      </c>
      <c r="J225" t="s">
        <v>24</v>
      </c>
      <c r="K225" s="4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20</v>
      </c>
      <c r="D226" t="s">
        <v>35</v>
      </c>
      <c r="E226" s="5">
        <v>1183376.73</v>
      </c>
      <c r="F226" s="4">
        <v>16552</v>
      </c>
      <c r="G226" s="4">
        <v>103</v>
      </c>
      <c r="H226" s="4">
        <v>0</v>
      </c>
      <c r="I226" t="s">
        <v>16</v>
      </c>
      <c r="J226" t="s">
        <v>29</v>
      </c>
      <c r="K226" s="4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20</v>
      </c>
      <c r="D227" t="s">
        <v>35</v>
      </c>
      <c r="E227" s="5">
        <v>612110.79</v>
      </c>
      <c r="F227" s="4">
        <v>26787</v>
      </c>
      <c r="G227" s="4">
        <v>77</v>
      </c>
      <c r="H227" s="4">
        <v>0</v>
      </c>
      <c r="I227" t="s">
        <v>16</v>
      </c>
      <c r="J227" t="s">
        <v>17</v>
      </c>
      <c r="K227" s="4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 s="4">
        <v>0</v>
      </c>
      <c r="G228" s="4">
        <v>74</v>
      </c>
      <c r="H228" s="4">
        <v>0</v>
      </c>
      <c r="I228" t="s">
        <v>16</v>
      </c>
      <c r="J228" t="s">
        <v>24</v>
      </c>
      <c r="K228" s="4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20</v>
      </c>
      <c r="D229" t="s">
        <v>31</v>
      </c>
      <c r="E229" s="5">
        <v>251459.20000000001</v>
      </c>
      <c r="F229" s="4">
        <v>43860</v>
      </c>
      <c r="G229" s="4">
        <v>65</v>
      </c>
      <c r="H229" s="4">
        <v>0</v>
      </c>
      <c r="I229" t="s">
        <v>28</v>
      </c>
      <c r="J229" t="s">
        <v>17</v>
      </c>
      <c r="K229" s="4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5">
        <v>866861.13</v>
      </c>
      <c r="F230" s="4">
        <v>21474</v>
      </c>
      <c r="G230" s="4">
        <v>114</v>
      </c>
      <c r="H230" s="4">
        <v>36557</v>
      </c>
      <c r="I230" t="s">
        <v>28</v>
      </c>
      <c r="J230" t="s">
        <v>29</v>
      </c>
      <c r="K230" s="4">
        <v>373.42818699999998</v>
      </c>
      <c r="L230" s="2">
        <v>35373.428186999998</v>
      </c>
    </row>
    <row r="231" spans="1:12" x14ac:dyDescent="0.35">
      <c r="A231" t="s">
        <v>268</v>
      </c>
      <c r="B231" t="s">
        <v>26</v>
      </c>
      <c r="C231" t="s">
        <v>27</v>
      </c>
      <c r="D231" t="s">
        <v>21</v>
      </c>
      <c r="E231" s="5">
        <v>496096.54</v>
      </c>
      <c r="F231" s="4">
        <v>18174</v>
      </c>
      <c r="G231" s="4">
        <v>66</v>
      </c>
      <c r="H231" s="4">
        <v>0</v>
      </c>
      <c r="I231" t="s">
        <v>28</v>
      </c>
      <c r="J231" t="s">
        <v>17</v>
      </c>
      <c r="K231" s="4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20</v>
      </c>
      <c r="D232" t="s">
        <v>21</v>
      </c>
      <c r="E232" s="5">
        <v>550413.9</v>
      </c>
      <c r="F232" s="4">
        <v>0</v>
      </c>
      <c r="G232" s="4">
        <v>73</v>
      </c>
      <c r="H232" s="4">
        <v>0</v>
      </c>
      <c r="I232" t="s">
        <v>28</v>
      </c>
      <c r="J232" t="s">
        <v>17</v>
      </c>
      <c r="K232" s="4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</v>
      </c>
      <c r="D233" t="s">
        <v>35</v>
      </c>
      <c r="E233" s="5">
        <v>750745.54</v>
      </c>
      <c r="F233" s="4">
        <v>60920</v>
      </c>
      <c r="G233" s="4">
        <v>64</v>
      </c>
      <c r="H233" s="4">
        <v>0</v>
      </c>
      <c r="I233" t="s">
        <v>16</v>
      </c>
      <c r="J233" t="s">
        <v>24</v>
      </c>
      <c r="K233" s="4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</v>
      </c>
      <c r="D234" t="s">
        <v>31</v>
      </c>
      <c r="E234" s="5">
        <v>3226985.14</v>
      </c>
      <c r="F234" s="4">
        <v>41520</v>
      </c>
      <c r="G234" s="4">
        <v>90</v>
      </c>
      <c r="H234" s="4">
        <v>0</v>
      </c>
      <c r="I234" t="s">
        <v>16</v>
      </c>
      <c r="J234" t="s">
        <v>17</v>
      </c>
      <c r="K234" s="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20</v>
      </c>
      <c r="D235" t="s">
        <v>21</v>
      </c>
      <c r="E235" s="5">
        <v>565703.16</v>
      </c>
      <c r="F235" s="4">
        <v>0</v>
      </c>
      <c r="G235" s="4">
        <v>152</v>
      </c>
      <c r="H235" s="4">
        <v>0</v>
      </c>
      <c r="I235" t="s">
        <v>16</v>
      </c>
      <c r="J235" t="s">
        <v>29</v>
      </c>
      <c r="K235" s="4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</v>
      </c>
      <c r="D236" t="s">
        <v>31</v>
      </c>
      <c r="E236" s="5">
        <v>506175.79</v>
      </c>
      <c r="F236" s="4">
        <v>0</v>
      </c>
      <c r="G236" s="4">
        <v>68</v>
      </c>
      <c r="H236" s="4">
        <v>0</v>
      </c>
      <c r="I236" t="s">
        <v>16</v>
      </c>
      <c r="J236" t="s">
        <v>24</v>
      </c>
      <c r="K236" s="4">
        <v>326.39999999999998</v>
      </c>
      <c r="L236" s="2">
        <v>35326.400000000001</v>
      </c>
    </row>
    <row r="237" spans="1:12" x14ac:dyDescent="0.35">
      <c r="A237" t="s">
        <v>275</v>
      </c>
      <c r="B237" t="s">
        <v>26</v>
      </c>
      <c r="C237" t="s">
        <v>27</v>
      </c>
      <c r="D237" t="s">
        <v>21</v>
      </c>
      <c r="E237" s="5">
        <v>591278.38</v>
      </c>
      <c r="F237" s="4">
        <v>72208</v>
      </c>
      <c r="G237" s="4">
        <v>73</v>
      </c>
      <c r="H237" s="4">
        <v>0</v>
      </c>
      <c r="I237" t="s">
        <v>16</v>
      </c>
      <c r="J237" t="s">
        <v>24</v>
      </c>
      <c r="K237" s="4">
        <v>350.4</v>
      </c>
      <c r="L237" s="2">
        <v>35350.400000000001</v>
      </c>
    </row>
    <row r="238" spans="1:12" x14ac:dyDescent="0.35">
      <c r="A238" t="s">
        <v>276</v>
      </c>
      <c r="B238" t="s">
        <v>26</v>
      </c>
      <c r="C238" t="s">
        <v>20</v>
      </c>
      <c r="D238" t="s">
        <v>21</v>
      </c>
      <c r="E238" s="5">
        <v>1518227.98</v>
      </c>
      <c r="F238" s="4">
        <v>53863</v>
      </c>
      <c r="G238" s="4">
        <v>63</v>
      </c>
      <c r="H238" s="4">
        <v>0</v>
      </c>
      <c r="I238" t="s">
        <v>16</v>
      </c>
      <c r="J238" t="s">
        <v>17</v>
      </c>
      <c r="K238" s="4">
        <v>105.765111</v>
      </c>
      <c r="L238" s="2">
        <v>35105.765111000001</v>
      </c>
    </row>
    <row r="239" spans="1:12" x14ac:dyDescent="0.35">
      <c r="A239" t="s">
        <v>277</v>
      </c>
      <c r="B239" t="s">
        <v>13</v>
      </c>
      <c r="C239" t="s">
        <v>27</v>
      </c>
      <c r="D239" t="s">
        <v>35</v>
      </c>
      <c r="E239" s="5">
        <v>1074703.0900000001</v>
      </c>
      <c r="F239" s="4">
        <v>66446</v>
      </c>
      <c r="G239" s="4">
        <v>136</v>
      </c>
      <c r="H239" s="4">
        <v>0</v>
      </c>
      <c r="I239" t="s">
        <v>28</v>
      </c>
      <c r="J239" t="s">
        <v>29</v>
      </c>
      <c r="K239" s="4">
        <v>639.46454800000004</v>
      </c>
      <c r="L239" s="2">
        <v>35639.464548000004</v>
      </c>
    </row>
    <row r="240" spans="1:12" x14ac:dyDescent="0.35">
      <c r="A240" t="s">
        <v>278</v>
      </c>
      <c r="B240" t="s">
        <v>13</v>
      </c>
      <c r="C240" t="s">
        <v>27</v>
      </c>
      <c r="D240" t="s">
        <v>35</v>
      </c>
      <c r="E240" s="5">
        <v>205062.35</v>
      </c>
      <c r="F240" s="4">
        <v>0</v>
      </c>
      <c r="G240" s="4">
        <v>61</v>
      </c>
      <c r="H240" s="4">
        <v>0</v>
      </c>
      <c r="I240" t="s">
        <v>16</v>
      </c>
      <c r="J240" t="s">
        <v>17</v>
      </c>
      <c r="K240" s="4">
        <v>292.8</v>
      </c>
      <c r="L240" s="2">
        <v>35292.800000000003</v>
      </c>
    </row>
    <row r="241" spans="1:12" x14ac:dyDescent="0.35">
      <c r="A241" t="s">
        <v>279</v>
      </c>
      <c r="B241" t="s">
        <v>13</v>
      </c>
      <c r="C241" t="s">
        <v>20</v>
      </c>
      <c r="D241" t="s">
        <v>21</v>
      </c>
      <c r="E241" s="5">
        <v>246544.49</v>
      </c>
      <c r="F241" s="4">
        <v>64997</v>
      </c>
      <c r="G241" s="4">
        <v>63</v>
      </c>
      <c r="H241" s="4">
        <v>36526</v>
      </c>
      <c r="I241" t="s">
        <v>16</v>
      </c>
      <c r="J241" t="s">
        <v>17</v>
      </c>
      <c r="K241" s="4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20</v>
      </c>
      <c r="D242" t="s">
        <v>31</v>
      </c>
      <c r="E242" s="5">
        <v>534312.13</v>
      </c>
      <c r="F242" s="4">
        <v>64460</v>
      </c>
      <c r="G242" s="4">
        <v>66</v>
      </c>
      <c r="H242" s="4">
        <v>0</v>
      </c>
      <c r="I242" t="s">
        <v>28</v>
      </c>
      <c r="J242" t="s">
        <v>24</v>
      </c>
      <c r="K242" s="4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20</v>
      </c>
      <c r="D243" t="s">
        <v>35</v>
      </c>
      <c r="E243" s="5">
        <v>811982.91</v>
      </c>
      <c r="F243" s="4">
        <v>46618</v>
      </c>
      <c r="G243" s="4">
        <v>67</v>
      </c>
      <c r="H243" s="4">
        <v>0</v>
      </c>
      <c r="I243" t="s">
        <v>16</v>
      </c>
      <c r="J243" t="s">
        <v>17</v>
      </c>
      <c r="K243" s="4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20</v>
      </c>
      <c r="D244" t="s">
        <v>35</v>
      </c>
      <c r="E244" s="5">
        <v>460526.52</v>
      </c>
      <c r="F244" s="4">
        <v>0</v>
      </c>
      <c r="G244" s="4">
        <v>64</v>
      </c>
      <c r="H244" s="4">
        <v>0</v>
      </c>
      <c r="I244" t="s">
        <v>28</v>
      </c>
      <c r="J244" t="s">
        <v>17</v>
      </c>
      <c r="K244" s="4">
        <v>307.2</v>
      </c>
      <c r="L244" s="2">
        <v>35307.199999999997</v>
      </c>
    </row>
    <row r="245" spans="1:12" x14ac:dyDescent="0.35">
      <c r="A245" t="s">
        <v>283</v>
      </c>
      <c r="B245" t="s">
        <v>26</v>
      </c>
      <c r="C245" t="s">
        <v>27</v>
      </c>
      <c r="D245" t="s">
        <v>35</v>
      </c>
      <c r="E245" s="5">
        <v>640878.56000000006</v>
      </c>
      <c r="F245" s="4">
        <v>49988</v>
      </c>
      <c r="G245" s="4">
        <v>84</v>
      </c>
      <c r="H245" s="4">
        <v>36647</v>
      </c>
      <c r="I245" t="s">
        <v>16</v>
      </c>
      <c r="J245" t="s">
        <v>24</v>
      </c>
      <c r="K245" s="4">
        <v>566.935022</v>
      </c>
      <c r="L245" s="2">
        <v>35566.935021999998</v>
      </c>
    </row>
    <row r="246" spans="1:12" x14ac:dyDescent="0.35">
      <c r="A246" t="s">
        <v>284</v>
      </c>
      <c r="B246" t="s">
        <v>26</v>
      </c>
      <c r="C246" t="s">
        <v>20</v>
      </c>
      <c r="D246" t="s">
        <v>35</v>
      </c>
      <c r="E246" s="5">
        <v>237653.35</v>
      </c>
      <c r="F246" s="4">
        <v>0</v>
      </c>
      <c r="G246" s="4">
        <v>91</v>
      </c>
      <c r="H246" s="4">
        <v>36647</v>
      </c>
      <c r="I246" t="s">
        <v>16</v>
      </c>
      <c r="J246" t="s">
        <v>24</v>
      </c>
      <c r="K246" s="4">
        <v>436.8</v>
      </c>
      <c r="L246" s="2">
        <v>35436.800000000003</v>
      </c>
    </row>
    <row r="247" spans="1:12" x14ac:dyDescent="0.35">
      <c r="A247" t="s">
        <v>285</v>
      </c>
      <c r="B247" t="s">
        <v>26</v>
      </c>
      <c r="C247" t="s">
        <v>27</v>
      </c>
      <c r="D247" t="s">
        <v>21</v>
      </c>
      <c r="E247" s="5">
        <v>321107</v>
      </c>
      <c r="F247" s="4">
        <v>16269</v>
      </c>
      <c r="G247" s="4">
        <v>86</v>
      </c>
      <c r="H247" s="4">
        <v>0</v>
      </c>
      <c r="I247" t="s">
        <v>28</v>
      </c>
      <c r="J247" t="s">
        <v>24</v>
      </c>
      <c r="K247" s="4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5">
        <v>509452.23</v>
      </c>
      <c r="F248" s="4">
        <v>72006</v>
      </c>
      <c r="G248" s="4">
        <v>64</v>
      </c>
      <c r="H248" s="4">
        <v>0</v>
      </c>
      <c r="I248" t="s">
        <v>16</v>
      </c>
      <c r="J248" t="s">
        <v>17</v>
      </c>
      <c r="K248" s="4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5">
        <v>2575527.8199999998</v>
      </c>
      <c r="F249" s="4">
        <v>0</v>
      </c>
      <c r="G249" s="4">
        <v>81</v>
      </c>
      <c r="H249" s="4">
        <v>36557</v>
      </c>
      <c r="I249" t="s">
        <v>16</v>
      </c>
      <c r="J249" t="s">
        <v>17</v>
      </c>
      <c r="K249" s="4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5">
        <v>867222.97</v>
      </c>
      <c r="F250" s="4">
        <v>0</v>
      </c>
      <c r="G250" s="4">
        <v>245</v>
      </c>
      <c r="H250" s="4">
        <v>0</v>
      </c>
      <c r="I250" t="s">
        <v>28</v>
      </c>
      <c r="J250" t="s">
        <v>65</v>
      </c>
      <c r="K250" s="4">
        <v>2345.4134410000001</v>
      </c>
      <c r="L250" s="2">
        <v>37345.413440999997</v>
      </c>
    </row>
    <row r="251" spans="1:12" x14ac:dyDescent="0.35">
      <c r="A251" t="s">
        <v>289</v>
      </c>
      <c r="B251" t="s">
        <v>26</v>
      </c>
      <c r="C251" t="s">
        <v>27</v>
      </c>
      <c r="D251" t="s">
        <v>15</v>
      </c>
      <c r="E251" s="5">
        <v>804473.07</v>
      </c>
      <c r="F251" s="4">
        <v>44320</v>
      </c>
      <c r="G251" s="4">
        <v>67</v>
      </c>
      <c r="H251" s="4">
        <v>0</v>
      </c>
      <c r="I251" t="s">
        <v>16</v>
      </c>
      <c r="J251" t="s">
        <v>17</v>
      </c>
      <c r="K251" s="4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5">
        <v>400151.91</v>
      </c>
      <c r="F252" s="4">
        <v>19782</v>
      </c>
      <c r="G252" s="4">
        <v>108</v>
      </c>
      <c r="H252" s="4">
        <v>0</v>
      </c>
      <c r="I252" t="s">
        <v>16</v>
      </c>
      <c r="J252" t="s">
        <v>24</v>
      </c>
      <c r="K252" s="4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5">
        <v>1670611.7</v>
      </c>
      <c r="F253" s="4">
        <v>63933</v>
      </c>
      <c r="G253" s="4">
        <v>70</v>
      </c>
      <c r="H253" s="4">
        <v>0</v>
      </c>
      <c r="I253" t="s">
        <v>16</v>
      </c>
      <c r="J253" t="s">
        <v>24</v>
      </c>
      <c r="K253" s="4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5">
        <v>854441.11</v>
      </c>
      <c r="F254" s="4">
        <v>28224</v>
      </c>
      <c r="G254" s="4">
        <v>109</v>
      </c>
      <c r="H254" s="4">
        <v>0</v>
      </c>
      <c r="I254" t="s">
        <v>16</v>
      </c>
      <c r="J254" t="s">
        <v>29</v>
      </c>
      <c r="K254" s="4">
        <v>523.20000000000005</v>
      </c>
      <c r="L254" s="2">
        <v>35523.199999999997</v>
      </c>
    </row>
    <row r="255" spans="1:12" x14ac:dyDescent="0.35">
      <c r="A255" t="s">
        <v>293</v>
      </c>
      <c r="B255" t="s">
        <v>13</v>
      </c>
      <c r="C255" t="s">
        <v>20</v>
      </c>
      <c r="D255" t="s">
        <v>35</v>
      </c>
      <c r="E255" s="5">
        <v>780531.29</v>
      </c>
      <c r="F255" s="4">
        <v>21073</v>
      </c>
      <c r="G255" s="4">
        <v>106</v>
      </c>
      <c r="H255" s="4">
        <v>36526</v>
      </c>
      <c r="I255" t="s">
        <v>16</v>
      </c>
      <c r="J255" t="s">
        <v>29</v>
      </c>
      <c r="K255" s="4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5">
        <v>611275.68999999994</v>
      </c>
      <c r="F256" s="4">
        <v>63243</v>
      </c>
      <c r="G256" s="4">
        <v>77</v>
      </c>
      <c r="H256" s="4">
        <v>0</v>
      </c>
      <c r="I256" t="s">
        <v>16</v>
      </c>
      <c r="J256" t="s">
        <v>17</v>
      </c>
      <c r="K256" s="4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 s="4">
        <v>20993</v>
      </c>
      <c r="G257" s="4">
        <v>133</v>
      </c>
      <c r="H257" s="4">
        <v>0</v>
      </c>
      <c r="I257" t="s">
        <v>16</v>
      </c>
      <c r="J257" t="s">
        <v>29</v>
      </c>
      <c r="K257" s="4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5">
        <v>1097909.56</v>
      </c>
      <c r="F258" s="4">
        <v>94827</v>
      </c>
      <c r="G258" s="4">
        <v>135</v>
      </c>
      <c r="H258" s="4">
        <v>0</v>
      </c>
      <c r="I258" t="s">
        <v>16</v>
      </c>
      <c r="J258" t="s">
        <v>29</v>
      </c>
      <c r="K258" s="4">
        <v>354.729129</v>
      </c>
      <c r="L258" s="2">
        <v>35354.729128999999</v>
      </c>
    </row>
    <row r="259" spans="1:12" x14ac:dyDescent="0.35">
      <c r="A259" t="s">
        <v>297</v>
      </c>
      <c r="B259" t="s">
        <v>26</v>
      </c>
      <c r="C259" t="s">
        <v>20</v>
      </c>
      <c r="D259" t="s">
        <v>15</v>
      </c>
      <c r="E259" s="5">
        <v>500426.38</v>
      </c>
      <c r="F259" s="4">
        <v>39161</v>
      </c>
      <c r="G259" s="4">
        <v>63</v>
      </c>
      <c r="H259" s="4">
        <v>36526</v>
      </c>
      <c r="I259" t="s">
        <v>16</v>
      </c>
      <c r="J259" t="s">
        <v>24</v>
      </c>
      <c r="K259" s="4">
        <v>283.99595299999999</v>
      </c>
      <c r="L259" s="2">
        <v>35283.995952999998</v>
      </c>
    </row>
    <row r="260" spans="1:12" x14ac:dyDescent="0.35">
      <c r="A260" t="s">
        <v>298</v>
      </c>
      <c r="B260" t="s">
        <v>13</v>
      </c>
      <c r="C260" t="s">
        <v>27</v>
      </c>
      <c r="D260" t="s">
        <v>21</v>
      </c>
      <c r="E260" s="5">
        <v>1322304.3799999999</v>
      </c>
      <c r="F260" s="4">
        <v>37534</v>
      </c>
      <c r="G260" s="4">
        <v>84</v>
      </c>
      <c r="H260" s="4">
        <v>36557</v>
      </c>
      <c r="I260" t="s">
        <v>16</v>
      </c>
      <c r="J260" t="s">
        <v>17</v>
      </c>
      <c r="K260" s="4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5">
        <v>262331.53999999998</v>
      </c>
      <c r="F261" s="4">
        <v>80210</v>
      </c>
      <c r="G261" s="4">
        <v>65</v>
      </c>
      <c r="H261" s="4">
        <v>0</v>
      </c>
      <c r="I261" t="s">
        <v>28</v>
      </c>
      <c r="J261" t="s">
        <v>17</v>
      </c>
      <c r="K261" s="4">
        <v>20.543175999999999</v>
      </c>
      <c r="L261" s="2">
        <v>35020.543175999999</v>
      </c>
    </row>
    <row r="262" spans="1:12" x14ac:dyDescent="0.35">
      <c r="A262" t="s">
        <v>300</v>
      </c>
      <c r="B262" t="s">
        <v>26</v>
      </c>
      <c r="C262" t="s">
        <v>27</v>
      </c>
      <c r="D262" t="s">
        <v>21</v>
      </c>
      <c r="E262" s="5">
        <v>1784019.56</v>
      </c>
      <c r="F262" s="4">
        <v>0</v>
      </c>
      <c r="G262" s="4">
        <v>62</v>
      </c>
      <c r="H262" s="4">
        <v>0</v>
      </c>
      <c r="I262" t="s">
        <v>16</v>
      </c>
      <c r="J262" t="s">
        <v>17</v>
      </c>
      <c r="K262" s="4">
        <v>385.11543699999999</v>
      </c>
      <c r="L262" s="2">
        <v>35385.115437</v>
      </c>
    </row>
    <row r="263" spans="1:12" x14ac:dyDescent="0.35">
      <c r="A263" t="s">
        <v>301</v>
      </c>
      <c r="B263" t="s">
        <v>26</v>
      </c>
      <c r="C263" t="s">
        <v>20</v>
      </c>
      <c r="D263" t="s">
        <v>35</v>
      </c>
      <c r="E263" s="5">
        <v>510611.18</v>
      </c>
      <c r="F263" s="4">
        <v>30110</v>
      </c>
      <c r="G263" s="4">
        <v>64</v>
      </c>
      <c r="H263" s="4">
        <v>0</v>
      </c>
      <c r="I263" t="s">
        <v>16</v>
      </c>
      <c r="J263" t="s">
        <v>17</v>
      </c>
      <c r="K263" s="4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5">
        <v>1793060.45</v>
      </c>
      <c r="F264" s="4">
        <v>21708</v>
      </c>
      <c r="G264" s="4">
        <v>68</v>
      </c>
      <c r="H264" s="4">
        <v>0</v>
      </c>
      <c r="I264" t="s">
        <v>16</v>
      </c>
      <c r="J264" t="s">
        <v>17</v>
      </c>
      <c r="K264" s="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5">
        <v>545734.26</v>
      </c>
      <c r="F265" s="4">
        <v>94731</v>
      </c>
      <c r="G265" s="4">
        <v>67</v>
      </c>
      <c r="H265" s="4">
        <v>0</v>
      </c>
      <c r="I265" t="s">
        <v>16</v>
      </c>
      <c r="J265" t="s">
        <v>17</v>
      </c>
      <c r="K265" s="4">
        <v>321.60000000000002</v>
      </c>
      <c r="L265" s="2">
        <v>35321.599999999999</v>
      </c>
    </row>
    <row r="266" spans="1:12" x14ac:dyDescent="0.35">
      <c r="A266" t="s">
        <v>304</v>
      </c>
      <c r="B266" t="s">
        <v>26</v>
      </c>
      <c r="C266" t="s">
        <v>27</v>
      </c>
      <c r="D266" t="s">
        <v>21</v>
      </c>
      <c r="E266" s="5">
        <v>656364.41</v>
      </c>
      <c r="F266" s="4">
        <v>32375</v>
      </c>
      <c r="G266" s="4">
        <v>83</v>
      </c>
      <c r="H266" s="4">
        <v>0</v>
      </c>
      <c r="I266" t="s">
        <v>16</v>
      </c>
      <c r="J266" t="s">
        <v>17</v>
      </c>
      <c r="K266" s="4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 s="4">
        <v>16531</v>
      </c>
      <c r="G267" s="4">
        <v>63</v>
      </c>
      <c r="H267" s="4">
        <v>0</v>
      </c>
      <c r="I267" t="s">
        <v>28</v>
      </c>
      <c r="J267" t="s">
        <v>17</v>
      </c>
      <c r="K267" s="4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5">
        <v>2932804.19</v>
      </c>
      <c r="F268" s="4">
        <v>32006</v>
      </c>
      <c r="G268" s="4">
        <v>94</v>
      </c>
      <c r="H268" s="4">
        <v>0</v>
      </c>
      <c r="I268" t="s">
        <v>28</v>
      </c>
      <c r="J268" t="s">
        <v>17</v>
      </c>
      <c r="K268" s="4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5">
        <v>577352.06999999995</v>
      </c>
      <c r="F269" s="4">
        <v>81676</v>
      </c>
      <c r="G269" s="4">
        <v>72</v>
      </c>
      <c r="H269" s="4">
        <v>0</v>
      </c>
      <c r="I269" t="s">
        <v>16</v>
      </c>
      <c r="J269" t="s">
        <v>24</v>
      </c>
      <c r="K269" s="4">
        <v>463.158502</v>
      </c>
      <c r="L269" s="2">
        <v>35463.158501999998</v>
      </c>
    </row>
    <row r="270" spans="1:12" x14ac:dyDescent="0.35">
      <c r="A270" t="s">
        <v>308</v>
      </c>
      <c r="B270" t="s">
        <v>26</v>
      </c>
      <c r="C270" t="s">
        <v>27</v>
      </c>
      <c r="D270" t="s">
        <v>35</v>
      </c>
      <c r="E270" s="5">
        <v>684711.89</v>
      </c>
      <c r="F270" s="4">
        <v>71038</v>
      </c>
      <c r="G270" s="4">
        <v>86</v>
      </c>
      <c r="H270" s="4">
        <v>0</v>
      </c>
      <c r="I270" t="s">
        <v>28</v>
      </c>
      <c r="J270" t="s">
        <v>17</v>
      </c>
      <c r="K270" s="4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5">
        <v>359531.29</v>
      </c>
      <c r="F271" s="4">
        <v>0</v>
      </c>
      <c r="G271" s="4">
        <v>103</v>
      </c>
      <c r="H271" s="4">
        <v>0</v>
      </c>
      <c r="I271" t="s">
        <v>28</v>
      </c>
      <c r="J271" t="s">
        <v>78</v>
      </c>
      <c r="K271" s="4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5">
        <v>2285561.21</v>
      </c>
      <c r="F272" s="4">
        <v>20832</v>
      </c>
      <c r="G272" s="4">
        <v>65</v>
      </c>
      <c r="H272" s="4">
        <v>0</v>
      </c>
      <c r="I272" t="s">
        <v>16</v>
      </c>
      <c r="J272" t="s">
        <v>24</v>
      </c>
      <c r="K272" s="4">
        <v>56.371966999999998</v>
      </c>
      <c r="L272" s="2">
        <v>35056.371966999999</v>
      </c>
    </row>
    <row r="273" spans="1:12" x14ac:dyDescent="0.35">
      <c r="A273" t="s">
        <v>311</v>
      </c>
      <c r="B273" t="s">
        <v>13</v>
      </c>
      <c r="C273" t="s">
        <v>27</v>
      </c>
      <c r="D273" t="s">
        <v>31</v>
      </c>
      <c r="E273" s="5">
        <v>785941.46</v>
      </c>
      <c r="F273" s="4">
        <v>0</v>
      </c>
      <c r="G273" s="4">
        <v>113</v>
      </c>
      <c r="H273" s="4">
        <v>0</v>
      </c>
      <c r="I273" t="s">
        <v>16</v>
      </c>
      <c r="J273" t="s">
        <v>29</v>
      </c>
      <c r="K273" s="4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 s="4">
        <v>52405</v>
      </c>
      <c r="G274" s="4">
        <v>103</v>
      </c>
      <c r="H274" s="4">
        <v>0</v>
      </c>
      <c r="I274" t="s">
        <v>16</v>
      </c>
      <c r="J274" t="s">
        <v>17</v>
      </c>
      <c r="K274" s="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5">
        <v>502963.88</v>
      </c>
      <c r="F275" s="4">
        <v>0</v>
      </c>
      <c r="G275" s="4">
        <v>133</v>
      </c>
      <c r="H275" s="4">
        <v>0</v>
      </c>
      <c r="I275" t="s">
        <v>16</v>
      </c>
      <c r="J275" t="s">
        <v>78</v>
      </c>
      <c r="K275" s="4">
        <v>795.86407899999995</v>
      </c>
      <c r="L275" s="2">
        <v>35795.864078999999</v>
      </c>
    </row>
    <row r="276" spans="1:12" x14ac:dyDescent="0.35">
      <c r="A276" t="s">
        <v>314</v>
      </c>
      <c r="B276" t="s">
        <v>13</v>
      </c>
      <c r="C276" t="s">
        <v>20</v>
      </c>
      <c r="D276" t="s">
        <v>21</v>
      </c>
      <c r="E276" s="5">
        <v>482141.85</v>
      </c>
      <c r="F276" s="4">
        <v>26583</v>
      </c>
      <c r="G276" s="4">
        <v>1005</v>
      </c>
      <c r="H276" s="4">
        <v>36617</v>
      </c>
      <c r="I276" t="s">
        <v>16</v>
      </c>
      <c r="J276" t="s">
        <v>29</v>
      </c>
      <c r="K276" s="4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5">
        <v>500431.05</v>
      </c>
      <c r="F277" s="4">
        <v>25486</v>
      </c>
      <c r="G277" s="4">
        <v>65</v>
      </c>
      <c r="H277" s="4">
        <v>0</v>
      </c>
      <c r="I277" t="s">
        <v>39</v>
      </c>
      <c r="J277" t="s">
        <v>24</v>
      </c>
      <c r="K277" s="4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5">
        <v>863005.39</v>
      </c>
      <c r="F278" s="4">
        <v>24065</v>
      </c>
      <c r="G278" s="4">
        <v>111</v>
      </c>
      <c r="H278" s="4">
        <v>0</v>
      </c>
      <c r="I278" t="s">
        <v>28</v>
      </c>
      <c r="J278" t="s">
        <v>17</v>
      </c>
      <c r="K278" s="4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5">
        <v>932208.51</v>
      </c>
      <c r="F279" s="4">
        <v>70435</v>
      </c>
      <c r="G279" s="4">
        <v>116</v>
      </c>
      <c r="H279" s="4">
        <v>0</v>
      </c>
      <c r="I279" t="s">
        <v>16</v>
      </c>
      <c r="J279" t="s">
        <v>17</v>
      </c>
      <c r="K279" s="4">
        <v>67.881546</v>
      </c>
      <c r="L279" s="2">
        <v>35067.881545999997</v>
      </c>
    </row>
    <row r="280" spans="1:12" x14ac:dyDescent="0.35">
      <c r="A280" t="s">
        <v>318</v>
      </c>
      <c r="B280" t="s">
        <v>26</v>
      </c>
      <c r="C280" t="s">
        <v>27</v>
      </c>
      <c r="D280" t="s">
        <v>35</v>
      </c>
      <c r="E280" s="5">
        <v>1672756.06</v>
      </c>
      <c r="F280" s="4">
        <v>0</v>
      </c>
      <c r="G280" s="4">
        <v>76</v>
      </c>
      <c r="H280" s="4">
        <v>36557</v>
      </c>
      <c r="I280" t="s">
        <v>16</v>
      </c>
      <c r="J280" t="s">
        <v>24</v>
      </c>
      <c r="K280" s="4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5">
        <v>365253.24</v>
      </c>
      <c r="F281" s="4">
        <v>39679</v>
      </c>
      <c r="G281" s="4">
        <v>92</v>
      </c>
      <c r="H281" s="4">
        <v>0</v>
      </c>
      <c r="I281" t="s">
        <v>16</v>
      </c>
      <c r="J281" t="s">
        <v>24</v>
      </c>
      <c r="K281" s="4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 s="4">
        <v>0</v>
      </c>
      <c r="G282" s="4">
        <v>89</v>
      </c>
      <c r="H282" s="4">
        <v>0</v>
      </c>
      <c r="I282" t="s">
        <v>16</v>
      </c>
      <c r="J282" t="s">
        <v>17</v>
      </c>
      <c r="K282" s="4">
        <v>342.48117300000001</v>
      </c>
      <c r="L282" s="2">
        <v>35342.481173</v>
      </c>
    </row>
    <row r="283" spans="1:12" x14ac:dyDescent="0.35">
      <c r="A283" t="s">
        <v>321</v>
      </c>
      <c r="B283" t="s">
        <v>26</v>
      </c>
      <c r="C283" t="s">
        <v>27</v>
      </c>
      <c r="D283" t="s">
        <v>21</v>
      </c>
      <c r="E283" s="5">
        <v>437608.4</v>
      </c>
      <c r="F283" s="4">
        <v>0</v>
      </c>
      <c r="G283" s="4">
        <v>69</v>
      </c>
      <c r="H283" s="4">
        <v>36617</v>
      </c>
      <c r="I283" t="s">
        <v>16</v>
      </c>
      <c r="J283" t="s">
        <v>24</v>
      </c>
      <c r="K283" s="4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 s="4">
        <v>53565</v>
      </c>
      <c r="G284" s="4">
        <v>71</v>
      </c>
      <c r="H284" s="4">
        <v>36526</v>
      </c>
      <c r="I284" t="s">
        <v>16</v>
      </c>
      <c r="J284" t="s">
        <v>17</v>
      </c>
      <c r="K284" s="4">
        <v>340.8</v>
      </c>
      <c r="L284" s="2">
        <v>35340.800000000003</v>
      </c>
    </row>
    <row r="285" spans="1:12" x14ac:dyDescent="0.35">
      <c r="A285" t="s">
        <v>323</v>
      </c>
      <c r="B285" t="s">
        <v>13</v>
      </c>
      <c r="C285" t="s">
        <v>27</v>
      </c>
      <c r="D285" t="s">
        <v>21</v>
      </c>
      <c r="E285" s="5">
        <v>257651.3</v>
      </c>
      <c r="F285" s="4">
        <v>37574</v>
      </c>
      <c r="G285" s="4">
        <v>66</v>
      </c>
      <c r="H285" s="4">
        <v>36526</v>
      </c>
      <c r="I285" t="s">
        <v>16</v>
      </c>
      <c r="J285" t="s">
        <v>24</v>
      </c>
      <c r="K285" s="4">
        <v>412.10193299999997</v>
      </c>
      <c r="L285" s="2">
        <v>35412.101932999998</v>
      </c>
    </row>
    <row r="286" spans="1:12" x14ac:dyDescent="0.35">
      <c r="A286" t="s">
        <v>324</v>
      </c>
      <c r="B286" t="s">
        <v>13</v>
      </c>
      <c r="C286" t="s">
        <v>27</v>
      </c>
      <c r="D286" t="s">
        <v>21</v>
      </c>
      <c r="E286" s="5">
        <v>834698.32</v>
      </c>
      <c r="F286" s="4">
        <v>48259</v>
      </c>
      <c r="G286" s="4">
        <v>108</v>
      </c>
      <c r="H286" s="4">
        <v>0</v>
      </c>
      <c r="I286" t="s">
        <v>16</v>
      </c>
      <c r="J286" t="s">
        <v>24</v>
      </c>
      <c r="K286" s="4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5">
        <v>632392.39</v>
      </c>
      <c r="F287" s="4">
        <v>78532</v>
      </c>
      <c r="G287" s="4">
        <v>78</v>
      </c>
      <c r="H287" s="4">
        <v>0</v>
      </c>
      <c r="I287" t="s">
        <v>16</v>
      </c>
      <c r="J287" t="s">
        <v>17</v>
      </c>
      <c r="K287" s="4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5">
        <v>597314.34</v>
      </c>
      <c r="F288" s="4">
        <v>96163</v>
      </c>
      <c r="G288" s="4">
        <v>73</v>
      </c>
      <c r="H288" s="4">
        <v>0</v>
      </c>
      <c r="I288" t="s">
        <v>28</v>
      </c>
      <c r="J288" t="s">
        <v>17</v>
      </c>
      <c r="K288" s="4">
        <v>350.4</v>
      </c>
      <c r="L288" s="2">
        <v>35350.400000000001</v>
      </c>
    </row>
    <row r="289" spans="1:12" x14ac:dyDescent="0.35">
      <c r="A289" t="s">
        <v>327</v>
      </c>
      <c r="B289" t="s">
        <v>26</v>
      </c>
      <c r="C289" t="s">
        <v>27</v>
      </c>
      <c r="D289" t="s">
        <v>21</v>
      </c>
      <c r="E289" s="5">
        <v>470667.7</v>
      </c>
      <c r="F289" s="4">
        <v>0</v>
      </c>
      <c r="G289" s="4">
        <v>72</v>
      </c>
      <c r="H289" s="4">
        <v>0</v>
      </c>
      <c r="I289" t="s">
        <v>16</v>
      </c>
      <c r="J289" t="s">
        <v>17</v>
      </c>
      <c r="K289" s="4">
        <v>345.6</v>
      </c>
      <c r="L289" s="2">
        <v>35345.599999999999</v>
      </c>
    </row>
    <row r="290" spans="1:12" x14ac:dyDescent="0.35">
      <c r="A290" t="s">
        <v>328</v>
      </c>
      <c r="B290" t="s">
        <v>26</v>
      </c>
      <c r="C290" t="s">
        <v>27</v>
      </c>
      <c r="D290" t="s">
        <v>31</v>
      </c>
      <c r="E290" s="5">
        <v>809341.03</v>
      </c>
      <c r="F290" s="4">
        <v>0</v>
      </c>
      <c r="G290" s="4">
        <v>114</v>
      </c>
      <c r="H290" s="4">
        <v>36526</v>
      </c>
      <c r="I290" t="s">
        <v>16</v>
      </c>
      <c r="J290" t="s">
        <v>78</v>
      </c>
      <c r="K290" s="4">
        <v>722.02474199999995</v>
      </c>
      <c r="L290" s="2">
        <v>35722.024742000001</v>
      </c>
    </row>
    <row r="291" spans="1:12" x14ac:dyDescent="0.35">
      <c r="A291" t="s">
        <v>329</v>
      </c>
      <c r="B291" t="s">
        <v>13</v>
      </c>
      <c r="C291" t="s">
        <v>27</v>
      </c>
      <c r="D291" t="s">
        <v>35</v>
      </c>
      <c r="E291" s="5">
        <v>503574.46</v>
      </c>
      <c r="F291" s="4">
        <v>72672</v>
      </c>
      <c r="G291" s="4">
        <v>63</v>
      </c>
      <c r="H291" s="4">
        <v>0</v>
      </c>
      <c r="I291" t="s">
        <v>16</v>
      </c>
      <c r="J291" t="s">
        <v>17</v>
      </c>
      <c r="K291" s="4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5">
        <v>902786.72</v>
      </c>
      <c r="F292" s="4">
        <v>99002</v>
      </c>
      <c r="G292" s="4">
        <v>112</v>
      </c>
      <c r="H292" s="4">
        <v>36526</v>
      </c>
      <c r="I292" t="s">
        <v>16</v>
      </c>
      <c r="J292" t="s">
        <v>17</v>
      </c>
      <c r="K292" s="4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</v>
      </c>
      <c r="D293" t="s">
        <v>31</v>
      </c>
      <c r="E293" s="5">
        <v>728888.48</v>
      </c>
      <c r="F293" s="4">
        <v>79494</v>
      </c>
      <c r="G293" s="4">
        <v>91</v>
      </c>
      <c r="H293" s="4">
        <v>0</v>
      </c>
      <c r="I293" t="s">
        <v>16</v>
      </c>
      <c r="J293" t="s">
        <v>17</v>
      </c>
      <c r="K293" s="4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</v>
      </c>
      <c r="D294" t="s">
        <v>15</v>
      </c>
      <c r="E294" s="5">
        <v>1804247.94</v>
      </c>
      <c r="F294" s="4">
        <v>35704</v>
      </c>
      <c r="G294" s="4">
        <v>225</v>
      </c>
      <c r="H294" s="4">
        <v>0</v>
      </c>
      <c r="I294" t="s">
        <v>16</v>
      </c>
      <c r="J294" t="s">
        <v>117</v>
      </c>
      <c r="K294" s="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5">
        <v>499206.3</v>
      </c>
      <c r="F295" s="4">
        <v>0</v>
      </c>
      <c r="G295" s="4">
        <v>71</v>
      </c>
      <c r="H295" s="4">
        <v>0</v>
      </c>
      <c r="I295" t="s">
        <v>28</v>
      </c>
      <c r="J295" t="s">
        <v>17</v>
      </c>
      <c r="K295" s="4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5">
        <v>910226.78</v>
      </c>
      <c r="F296" s="4">
        <v>26049</v>
      </c>
      <c r="G296" s="4">
        <v>118</v>
      </c>
      <c r="H296" s="4">
        <v>0</v>
      </c>
      <c r="I296" t="s">
        <v>16</v>
      </c>
      <c r="J296" t="s">
        <v>24</v>
      </c>
      <c r="K296" s="4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</v>
      </c>
      <c r="D297" t="s">
        <v>80</v>
      </c>
      <c r="E297" s="5">
        <v>254040.77</v>
      </c>
      <c r="F297" s="4">
        <v>70125</v>
      </c>
      <c r="G297" s="4">
        <v>64</v>
      </c>
      <c r="H297" s="4">
        <v>0</v>
      </c>
      <c r="I297" t="s">
        <v>39</v>
      </c>
      <c r="J297" t="s">
        <v>17</v>
      </c>
      <c r="K297" s="4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</v>
      </c>
      <c r="D298" t="s">
        <v>35</v>
      </c>
      <c r="E298" s="5">
        <v>1294189.19</v>
      </c>
      <c r="F298" s="4">
        <v>52369</v>
      </c>
      <c r="G298" s="4">
        <v>110</v>
      </c>
      <c r="H298" s="4">
        <v>36526</v>
      </c>
      <c r="I298" t="s">
        <v>16</v>
      </c>
      <c r="J298" t="s">
        <v>29</v>
      </c>
      <c r="K298" s="4">
        <v>528</v>
      </c>
      <c r="L298" s="2">
        <v>35528</v>
      </c>
    </row>
    <row r="299" spans="1:12" x14ac:dyDescent="0.35">
      <c r="A299" t="s">
        <v>337</v>
      </c>
      <c r="B299" t="s">
        <v>13</v>
      </c>
      <c r="C299" t="s">
        <v>20</v>
      </c>
      <c r="D299" t="s">
        <v>21</v>
      </c>
      <c r="E299" s="5">
        <v>236534.86</v>
      </c>
      <c r="F299" s="4">
        <v>0</v>
      </c>
      <c r="G299" s="4">
        <v>66</v>
      </c>
      <c r="H299" s="4">
        <v>36557</v>
      </c>
      <c r="I299" t="s">
        <v>39</v>
      </c>
      <c r="J299" t="s">
        <v>17</v>
      </c>
      <c r="K299" s="4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</v>
      </c>
      <c r="D300" t="s">
        <v>35</v>
      </c>
      <c r="E300" s="5">
        <v>572076.51</v>
      </c>
      <c r="F300" s="4">
        <v>41770</v>
      </c>
      <c r="G300" s="4">
        <v>72</v>
      </c>
      <c r="H300" s="4">
        <v>0</v>
      </c>
      <c r="I300" t="s">
        <v>16</v>
      </c>
      <c r="J300" t="s">
        <v>17</v>
      </c>
      <c r="K300" s="4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</v>
      </c>
      <c r="D301" t="s">
        <v>31</v>
      </c>
      <c r="E301" s="5">
        <v>703553.41</v>
      </c>
      <c r="F301" s="4">
        <v>0</v>
      </c>
      <c r="G301" s="4">
        <v>101</v>
      </c>
      <c r="H301" s="4">
        <v>0</v>
      </c>
      <c r="I301" t="s">
        <v>28</v>
      </c>
      <c r="J301" t="s">
        <v>17</v>
      </c>
      <c r="K301" s="4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 s="4">
        <v>31911</v>
      </c>
      <c r="G302" s="4">
        <v>67</v>
      </c>
      <c r="H302" s="4">
        <v>0</v>
      </c>
      <c r="I302" t="s">
        <v>16</v>
      </c>
      <c r="J302" t="s">
        <v>17</v>
      </c>
      <c r="K302" s="4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5">
        <v>539583.19999999995</v>
      </c>
      <c r="F303" s="4">
        <v>70051</v>
      </c>
      <c r="G303" s="4">
        <v>68</v>
      </c>
      <c r="H303" s="4">
        <v>0</v>
      </c>
      <c r="I303" t="s">
        <v>28</v>
      </c>
      <c r="J303" t="s">
        <v>17</v>
      </c>
      <c r="K303" s="4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 s="4">
        <v>19683</v>
      </c>
      <c r="G304" s="4">
        <v>117</v>
      </c>
      <c r="H304" s="4">
        <v>36526</v>
      </c>
      <c r="I304" t="s">
        <v>16</v>
      </c>
      <c r="J304" t="s">
        <v>78</v>
      </c>
      <c r="K304" s="4">
        <v>561.6</v>
      </c>
      <c r="L304" s="2">
        <v>35561.599999999999</v>
      </c>
    </row>
    <row r="305" spans="1:12" x14ac:dyDescent="0.35">
      <c r="A305" t="s">
        <v>344</v>
      </c>
      <c r="B305" t="s">
        <v>13</v>
      </c>
      <c r="C305" t="s">
        <v>20</v>
      </c>
      <c r="D305" t="s">
        <v>35</v>
      </c>
      <c r="E305" s="5">
        <v>3116174.52</v>
      </c>
      <c r="F305" s="4">
        <v>30916</v>
      </c>
      <c r="G305" s="4">
        <v>112</v>
      </c>
      <c r="H305" s="4">
        <v>0</v>
      </c>
      <c r="I305" t="s">
        <v>16</v>
      </c>
      <c r="J305" t="s">
        <v>29</v>
      </c>
      <c r="K305" s="4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5">
        <v>288774.23</v>
      </c>
      <c r="F306" s="4">
        <v>0</v>
      </c>
      <c r="G306" s="4">
        <v>80</v>
      </c>
      <c r="H306" s="4">
        <v>0</v>
      </c>
      <c r="I306" t="s">
        <v>16</v>
      </c>
      <c r="J306" t="s">
        <v>17</v>
      </c>
      <c r="K306" s="4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5">
        <v>742584.53</v>
      </c>
      <c r="F307" s="4">
        <v>84302</v>
      </c>
      <c r="G307" s="4">
        <v>62</v>
      </c>
      <c r="H307" s="4">
        <v>0</v>
      </c>
      <c r="I307" t="s">
        <v>16</v>
      </c>
      <c r="J307" t="s">
        <v>17</v>
      </c>
      <c r="K307" s="4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5">
        <v>2558572.7799999998</v>
      </c>
      <c r="F308" s="4">
        <v>0</v>
      </c>
      <c r="G308" s="4">
        <v>116</v>
      </c>
      <c r="H308" s="4">
        <v>0</v>
      </c>
      <c r="I308" t="s">
        <v>28</v>
      </c>
      <c r="J308" t="s">
        <v>29</v>
      </c>
      <c r="K308" s="4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 s="4">
        <v>60145</v>
      </c>
      <c r="G309" s="4">
        <v>132</v>
      </c>
      <c r="H309" s="4">
        <v>0</v>
      </c>
      <c r="I309" t="s">
        <v>16</v>
      </c>
      <c r="J309" t="s">
        <v>29</v>
      </c>
      <c r="K309" s="4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5">
        <v>437636.36</v>
      </c>
      <c r="F310" s="4">
        <v>63774</v>
      </c>
      <c r="G310" s="4">
        <v>111</v>
      </c>
      <c r="H310" s="4">
        <v>0</v>
      </c>
      <c r="I310" t="s">
        <v>16</v>
      </c>
      <c r="J310" t="s">
        <v>17</v>
      </c>
      <c r="K310" s="4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5">
        <v>531889.66</v>
      </c>
      <c r="F311" s="4">
        <v>25134</v>
      </c>
      <c r="G311" s="4">
        <v>67</v>
      </c>
      <c r="H311" s="4">
        <v>0</v>
      </c>
      <c r="I311" t="s">
        <v>28</v>
      </c>
      <c r="J311" t="s">
        <v>17</v>
      </c>
      <c r="K311" s="4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5">
        <v>471976.22</v>
      </c>
      <c r="F312" s="4">
        <v>37057</v>
      </c>
      <c r="G312" s="4">
        <v>61</v>
      </c>
      <c r="H312" s="4">
        <v>36526</v>
      </c>
      <c r="I312" t="s">
        <v>16</v>
      </c>
      <c r="J312" t="s">
        <v>17</v>
      </c>
      <c r="K312" s="4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5">
        <v>442803.16</v>
      </c>
      <c r="F313" s="4">
        <v>58577</v>
      </c>
      <c r="G313" s="4">
        <v>110</v>
      </c>
      <c r="H313" s="4">
        <v>0</v>
      </c>
      <c r="I313" t="s">
        <v>16</v>
      </c>
      <c r="J313" t="s">
        <v>29</v>
      </c>
      <c r="K313" s="4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 s="4">
        <v>85857</v>
      </c>
      <c r="G314" s="4">
        <v>73</v>
      </c>
      <c r="H314" s="4">
        <v>0</v>
      </c>
      <c r="I314" t="s">
        <v>28</v>
      </c>
      <c r="J314" t="s">
        <v>17</v>
      </c>
      <c r="K314" s="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5">
        <v>941690.85</v>
      </c>
      <c r="F315" s="4">
        <v>70602</v>
      </c>
      <c r="G315" s="4">
        <v>116</v>
      </c>
      <c r="H315" s="4">
        <v>0</v>
      </c>
      <c r="I315" t="s">
        <v>16</v>
      </c>
      <c r="J315" t="s">
        <v>29</v>
      </c>
      <c r="K315" s="4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5">
        <v>828815.56</v>
      </c>
      <c r="F316" s="4">
        <v>33816</v>
      </c>
      <c r="G316" s="4">
        <v>106</v>
      </c>
      <c r="H316" s="4">
        <v>36557</v>
      </c>
      <c r="I316" t="s">
        <v>28</v>
      </c>
      <c r="J316" t="s">
        <v>17</v>
      </c>
      <c r="K316" s="4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5">
        <v>3265483.83</v>
      </c>
      <c r="F317" s="4">
        <v>0</v>
      </c>
      <c r="G317" s="4">
        <v>153</v>
      </c>
      <c r="H317" s="4">
        <v>0</v>
      </c>
      <c r="I317" t="s">
        <v>16</v>
      </c>
      <c r="J317" t="s">
        <v>29</v>
      </c>
      <c r="K317" s="4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5">
        <v>471945.01</v>
      </c>
      <c r="F318" s="4">
        <v>89642</v>
      </c>
      <c r="G318" s="4">
        <v>121</v>
      </c>
      <c r="H318" s="4">
        <v>36617</v>
      </c>
      <c r="I318" t="s">
        <v>28</v>
      </c>
      <c r="J318" t="s">
        <v>29</v>
      </c>
      <c r="K318" s="4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5">
        <v>390347.48</v>
      </c>
      <c r="F319" s="4">
        <v>60068</v>
      </c>
      <c r="G319" s="4">
        <v>98</v>
      </c>
      <c r="H319" s="4">
        <v>0</v>
      </c>
      <c r="I319" t="s">
        <v>16</v>
      </c>
      <c r="J319" t="s">
        <v>24</v>
      </c>
      <c r="K319" s="4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5">
        <v>545725.97</v>
      </c>
      <c r="F320" s="4">
        <v>50044</v>
      </c>
      <c r="G320" s="4">
        <v>139</v>
      </c>
      <c r="H320" s="4">
        <v>0</v>
      </c>
      <c r="I320" t="s">
        <v>16</v>
      </c>
      <c r="J320" t="s">
        <v>29</v>
      </c>
      <c r="K320" s="4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5">
        <v>272535.64</v>
      </c>
      <c r="F321" s="4">
        <v>36650</v>
      </c>
      <c r="G321" s="4">
        <v>69</v>
      </c>
      <c r="H321" s="4">
        <v>36526</v>
      </c>
      <c r="I321" t="s">
        <v>16</v>
      </c>
      <c r="J321" t="s">
        <v>17</v>
      </c>
      <c r="K321" s="4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5">
        <v>443397.37</v>
      </c>
      <c r="F322" s="4">
        <v>50653</v>
      </c>
      <c r="G322" s="4">
        <v>110</v>
      </c>
      <c r="H322" s="4">
        <v>0</v>
      </c>
      <c r="I322" t="s">
        <v>28</v>
      </c>
      <c r="J322" t="s">
        <v>29</v>
      </c>
      <c r="K322" s="4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5">
        <v>533246.27</v>
      </c>
      <c r="F323" s="4">
        <v>68931</v>
      </c>
      <c r="G323" s="4">
        <v>66</v>
      </c>
      <c r="H323" s="4">
        <v>0</v>
      </c>
      <c r="I323" t="s">
        <v>16</v>
      </c>
      <c r="J323" t="s">
        <v>17</v>
      </c>
      <c r="K323" s="4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5">
        <v>231509.5</v>
      </c>
      <c r="F324" s="4">
        <v>0</v>
      </c>
      <c r="G324" s="4">
        <v>73</v>
      </c>
      <c r="H324" s="4">
        <v>36526</v>
      </c>
      <c r="I324" t="s">
        <v>28</v>
      </c>
      <c r="J324" t="s">
        <v>17</v>
      </c>
      <c r="K324" s="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5">
        <v>541195.37</v>
      </c>
      <c r="F325" s="4">
        <v>0</v>
      </c>
      <c r="G325" s="4">
        <v>73</v>
      </c>
      <c r="H325" s="4">
        <v>0</v>
      </c>
      <c r="I325" t="s">
        <v>16</v>
      </c>
      <c r="J325" t="s">
        <v>17</v>
      </c>
      <c r="K325" s="4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5">
        <v>958733.23</v>
      </c>
      <c r="F326" s="4">
        <v>39266</v>
      </c>
      <c r="G326" s="4">
        <v>80</v>
      </c>
      <c r="H326" s="4">
        <v>0</v>
      </c>
      <c r="I326" t="s">
        <v>16</v>
      </c>
      <c r="J326" t="s">
        <v>17</v>
      </c>
      <c r="K326" s="4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 s="4">
        <v>0</v>
      </c>
      <c r="G327" s="4">
        <v>102</v>
      </c>
      <c r="H327" s="4">
        <v>0</v>
      </c>
      <c r="I327" t="s">
        <v>16</v>
      </c>
      <c r="J327" t="s">
        <v>29</v>
      </c>
      <c r="K327" s="4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5">
        <v>976494.53</v>
      </c>
      <c r="F328" s="4">
        <v>0</v>
      </c>
      <c r="G328" s="4">
        <v>98</v>
      </c>
      <c r="H328" s="4">
        <v>36526</v>
      </c>
      <c r="I328" t="s">
        <v>16</v>
      </c>
      <c r="J328" t="s">
        <v>17</v>
      </c>
      <c r="K328" s="4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5">
        <v>256715.15</v>
      </c>
      <c r="F329" s="4">
        <v>40864</v>
      </c>
      <c r="G329" s="4">
        <v>65</v>
      </c>
      <c r="H329" s="4">
        <v>0</v>
      </c>
      <c r="I329" t="s">
        <v>28</v>
      </c>
      <c r="J329" t="s">
        <v>17</v>
      </c>
      <c r="K329" s="4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5">
        <v>265062.28000000003</v>
      </c>
      <c r="F330" s="4">
        <v>39035</v>
      </c>
      <c r="G330" s="4">
        <v>68</v>
      </c>
      <c r="H330" s="4">
        <v>0</v>
      </c>
      <c r="I330" t="s">
        <v>16</v>
      </c>
      <c r="J330" t="s">
        <v>17</v>
      </c>
      <c r="K330" s="4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5">
        <v>1126436.33</v>
      </c>
      <c r="F331" s="4">
        <v>34923</v>
      </c>
      <c r="G331" s="4">
        <v>98</v>
      </c>
      <c r="H331" s="4">
        <v>0</v>
      </c>
      <c r="I331" t="s">
        <v>16</v>
      </c>
      <c r="J331" t="s">
        <v>24</v>
      </c>
      <c r="K331" s="4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 s="4">
        <v>0</v>
      </c>
      <c r="G332" s="4">
        <v>63</v>
      </c>
      <c r="H332" s="4">
        <v>0</v>
      </c>
      <c r="I332" t="s">
        <v>16</v>
      </c>
      <c r="J332" t="s">
        <v>17</v>
      </c>
      <c r="K332" s="4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5">
        <v>861066.75</v>
      </c>
      <c r="F333" s="4">
        <v>0</v>
      </c>
      <c r="G333" s="4">
        <v>111</v>
      </c>
      <c r="H333" s="4">
        <v>0</v>
      </c>
      <c r="I333" t="s">
        <v>28</v>
      </c>
      <c r="J333" t="s">
        <v>29</v>
      </c>
      <c r="K333" s="4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5">
        <v>283464.62</v>
      </c>
      <c r="F334" s="4">
        <v>24506</v>
      </c>
      <c r="G334" s="4">
        <v>71</v>
      </c>
      <c r="H334" s="4">
        <v>0</v>
      </c>
      <c r="I334" t="s">
        <v>16</v>
      </c>
      <c r="J334" t="s">
        <v>24</v>
      </c>
      <c r="K334" s="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 s="4">
        <v>0</v>
      </c>
      <c r="G335" s="4">
        <v>82</v>
      </c>
      <c r="H335" s="4">
        <v>0</v>
      </c>
      <c r="I335" t="s">
        <v>16</v>
      </c>
      <c r="J335" t="s">
        <v>17</v>
      </c>
      <c r="K335" s="4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5">
        <v>553638.69999999995</v>
      </c>
      <c r="F336" s="4">
        <v>52220</v>
      </c>
      <c r="G336" s="4">
        <v>70</v>
      </c>
      <c r="H336" s="4">
        <v>36526</v>
      </c>
      <c r="I336" t="s">
        <v>16</v>
      </c>
      <c r="J336" t="s">
        <v>17</v>
      </c>
      <c r="K336" s="4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5">
        <v>284085.43</v>
      </c>
      <c r="F337" s="4">
        <v>0</v>
      </c>
      <c r="G337" s="4">
        <v>74</v>
      </c>
      <c r="H337" s="4">
        <v>0</v>
      </c>
      <c r="I337" t="s">
        <v>16</v>
      </c>
      <c r="J337" t="s">
        <v>24</v>
      </c>
      <c r="K337" s="4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 s="4">
        <v>53554</v>
      </c>
      <c r="G338" s="4">
        <v>67</v>
      </c>
      <c r="H338" s="4">
        <v>0</v>
      </c>
      <c r="I338" t="s">
        <v>16</v>
      </c>
      <c r="J338" t="s">
        <v>17</v>
      </c>
      <c r="K338" s="4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5">
        <v>525473.43000000005</v>
      </c>
      <c r="F339" s="4">
        <v>34476</v>
      </c>
      <c r="G339" s="4">
        <v>67</v>
      </c>
      <c r="H339" s="4">
        <v>36526</v>
      </c>
      <c r="I339" t="s">
        <v>28</v>
      </c>
      <c r="J339" t="s">
        <v>17</v>
      </c>
      <c r="K339" s="4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5">
        <v>511623.76</v>
      </c>
      <c r="F340" s="4">
        <v>0</v>
      </c>
      <c r="G340" s="4">
        <v>70</v>
      </c>
      <c r="H340" s="4">
        <v>0</v>
      </c>
      <c r="I340" t="s">
        <v>16</v>
      </c>
      <c r="J340" t="s">
        <v>17</v>
      </c>
      <c r="K340" s="4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 s="4">
        <v>68205</v>
      </c>
      <c r="G341" s="4">
        <v>76</v>
      </c>
      <c r="H341" s="4">
        <v>0</v>
      </c>
      <c r="I341" t="s">
        <v>16</v>
      </c>
      <c r="J341" t="s">
        <v>24</v>
      </c>
      <c r="K341" s="4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20</v>
      </c>
      <c r="D342" t="s">
        <v>31</v>
      </c>
      <c r="E342" s="5">
        <v>802489.99</v>
      </c>
      <c r="F342" s="4">
        <v>0</v>
      </c>
      <c r="G342" s="4">
        <v>119</v>
      </c>
      <c r="H342" s="4">
        <v>36526</v>
      </c>
      <c r="I342" t="s">
        <v>16</v>
      </c>
      <c r="J342" t="s">
        <v>29</v>
      </c>
      <c r="K342" s="4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 s="4">
        <v>53690</v>
      </c>
      <c r="G343" s="4">
        <v>154</v>
      </c>
      <c r="H343" s="4">
        <v>0</v>
      </c>
      <c r="I343" t="s">
        <v>16</v>
      </c>
      <c r="J343" t="s">
        <v>29</v>
      </c>
      <c r="K343" s="4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 s="4">
        <v>0</v>
      </c>
      <c r="G344" s="4">
        <v>72</v>
      </c>
      <c r="H344" s="4">
        <v>0</v>
      </c>
      <c r="I344" t="s">
        <v>16</v>
      </c>
      <c r="J344" t="s">
        <v>17</v>
      </c>
      <c r="K344" s="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20</v>
      </c>
      <c r="D345" t="s">
        <v>31</v>
      </c>
      <c r="E345" s="5">
        <v>215017.86</v>
      </c>
      <c r="F345" s="4">
        <v>0</v>
      </c>
      <c r="G345" s="4">
        <v>61</v>
      </c>
      <c r="H345" s="4">
        <v>0</v>
      </c>
      <c r="I345" t="s">
        <v>16</v>
      </c>
      <c r="J345" t="s">
        <v>17</v>
      </c>
      <c r="K345" s="4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20</v>
      </c>
      <c r="D346" t="s">
        <v>31</v>
      </c>
      <c r="E346" s="5">
        <v>559538.99</v>
      </c>
      <c r="F346" s="4">
        <v>74454</v>
      </c>
      <c r="G346" s="4">
        <v>71</v>
      </c>
      <c r="H346" s="4">
        <v>0</v>
      </c>
      <c r="I346" t="s">
        <v>16</v>
      </c>
      <c r="J346" t="s">
        <v>17</v>
      </c>
      <c r="K346" s="4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20</v>
      </c>
      <c r="D347" t="s">
        <v>21</v>
      </c>
      <c r="E347" s="5">
        <v>756282.4</v>
      </c>
      <c r="F347" s="4">
        <v>0</v>
      </c>
      <c r="G347" s="4">
        <v>73</v>
      </c>
      <c r="H347" s="4">
        <v>0</v>
      </c>
      <c r="I347" t="s">
        <v>16</v>
      </c>
      <c r="J347" t="s">
        <v>17</v>
      </c>
      <c r="K347" s="4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 s="4">
        <v>29664</v>
      </c>
      <c r="G348" s="4">
        <v>71</v>
      </c>
      <c r="H348" s="4">
        <v>0</v>
      </c>
      <c r="I348" t="s">
        <v>16</v>
      </c>
      <c r="J348" t="s">
        <v>17</v>
      </c>
      <c r="K348" s="4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5">
        <v>267805.83</v>
      </c>
      <c r="F349" s="4">
        <v>72450</v>
      </c>
      <c r="G349" s="4">
        <v>66</v>
      </c>
      <c r="H349" s="4">
        <v>0</v>
      </c>
      <c r="I349" t="s">
        <v>28</v>
      </c>
      <c r="J349" t="s">
        <v>17</v>
      </c>
      <c r="K349" s="4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20</v>
      </c>
      <c r="D350" t="s">
        <v>21</v>
      </c>
      <c r="E350" s="5">
        <v>942256.79</v>
      </c>
      <c r="F350" s="4">
        <v>47272</v>
      </c>
      <c r="G350" s="4">
        <v>79</v>
      </c>
      <c r="H350" s="4">
        <v>36586</v>
      </c>
      <c r="I350" t="s">
        <v>16</v>
      </c>
      <c r="J350" t="s">
        <v>17</v>
      </c>
      <c r="K350" s="4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20</v>
      </c>
      <c r="D351" t="s">
        <v>35</v>
      </c>
      <c r="E351" s="5">
        <v>360586.03</v>
      </c>
      <c r="F351" s="4">
        <v>21585</v>
      </c>
      <c r="G351" s="4">
        <v>92</v>
      </c>
      <c r="H351" s="4">
        <v>0</v>
      </c>
      <c r="I351" t="s">
        <v>28</v>
      </c>
      <c r="J351" t="s">
        <v>17</v>
      </c>
      <c r="K351" s="4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20</v>
      </c>
      <c r="D352" t="s">
        <v>35</v>
      </c>
      <c r="E352" s="5">
        <v>776259.06</v>
      </c>
      <c r="F352" s="4">
        <v>23827</v>
      </c>
      <c r="G352" s="4">
        <v>106</v>
      </c>
      <c r="H352" s="4">
        <v>36557</v>
      </c>
      <c r="I352" t="s">
        <v>16</v>
      </c>
      <c r="J352" t="s">
        <v>17</v>
      </c>
      <c r="K352" s="4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20</v>
      </c>
      <c r="D353" t="s">
        <v>35</v>
      </c>
      <c r="E353" s="5">
        <v>2344490.0499999998</v>
      </c>
      <c r="F353" s="4">
        <v>69906</v>
      </c>
      <c r="G353" s="4">
        <v>74</v>
      </c>
      <c r="H353" s="4">
        <v>36557</v>
      </c>
      <c r="I353" t="s">
        <v>28</v>
      </c>
      <c r="J353" t="s">
        <v>17</v>
      </c>
      <c r="K353" s="4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20</v>
      </c>
      <c r="D354" t="s">
        <v>31</v>
      </c>
      <c r="E354" s="5">
        <v>255817.82</v>
      </c>
      <c r="F354" s="4">
        <v>0</v>
      </c>
      <c r="G354" s="4">
        <v>72</v>
      </c>
      <c r="H354" s="4">
        <v>0</v>
      </c>
      <c r="I354" t="s">
        <v>28</v>
      </c>
      <c r="J354" t="s">
        <v>17</v>
      </c>
      <c r="K354" s="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5">
        <v>265438.09999999998</v>
      </c>
      <c r="F355" s="4">
        <v>73196</v>
      </c>
      <c r="G355" s="4">
        <v>66</v>
      </c>
      <c r="H355" s="4">
        <v>36526</v>
      </c>
      <c r="I355" t="s">
        <v>16</v>
      </c>
      <c r="J355" t="s">
        <v>17</v>
      </c>
      <c r="K355" s="4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5">
        <v>254978.61</v>
      </c>
      <c r="F356" s="4">
        <v>72217</v>
      </c>
      <c r="G356" s="4">
        <v>6464</v>
      </c>
      <c r="H356" s="4">
        <v>0</v>
      </c>
      <c r="I356" t="s">
        <v>16</v>
      </c>
      <c r="J356" t="s">
        <v>17</v>
      </c>
      <c r="K356" s="4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 s="4">
        <v>46131</v>
      </c>
      <c r="G357" s="4">
        <v>74</v>
      </c>
      <c r="H357" s="4">
        <v>0</v>
      </c>
      <c r="I357" t="s">
        <v>16</v>
      </c>
      <c r="J357" t="s">
        <v>24</v>
      </c>
      <c r="K357" s="4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20</v>
      </c>
      <c r="D358" t="s">
        <v>15</v>
      </c>
      <c r="E358" s="5">
        <v>436312.46</v>
      </c>
      <c r="F358" s="4">
        <v>54514</v>
      </c>
      <c r="G358" s="4">
        <v>109</v>
      </c>
      <c r="H358" s="4">
        <v>36586</v>
      </c>
      <c r="I358" t="s">
        <v>16</v>
      </c>
      <c r="J358" t="s">
        <v>29</v>
      </c>
      <c r="K358" s="4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20</v>
      </c>
      <c r="D359" t="s">
        <v>31</v>
      </c>
      <c r="E359" s="5">
        <v>588430.86</v>
      </c>
      <c r="F359" s="4">
        <v>0</v>
      </c>
      <c r="G359" s="4">
        <v>161</v>
      </c>
      <c r="H359" s="4">
        <v>0</v>
      </c>
      <c r="I359" t="s">
        <v>16</v>
      </c>
      <c r="J359" t="s">
        <v>29</v>
      </c>
      <c r="K359" s="4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20</v>
      </c>
      <c r="D360" t="s">
        <v>35</v>
      </c>
      <c r="E360" s="5">
        <v>527219.16</v>
      </c>
      <c r="F360" s="4">
        <v>96668</v>
      </c>
      <c r="G360" s="4">
        <v>66</v>
      </c>
      <c r="H360" s="4">
        <v>0</v>
      </c>
      <c r="I360" t="s">
        <v>16</v>
      </c>
      <c r="J360" t="s">
        <v>17</v>
      </c>
      <c r="K360" s="4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 s="4">
        <v>78879</v>
      </c>
      <c r="G361" s="4">
        <v>69</v>
      </c>
      <c r="H361" s="4">
        <v>36526</v>
      </c>
      <c r="I361" t="s">
        <v>16</v>
      </c>
      <c r="J361" t="s">
        <v>17</v>
      </c>
      <c r="K361" s="4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 s="4">
        <v>0</v>
      </c>
      <c r="G362" s="4">
        <v>69</v>
      </c>
      <c r="H362" s="4">
        <v>0</v>
      </c>
      <c r="I362" t="s">
        <v>16</v>
      </c>
      <c r="J362" t="s">
        <v>17</v>
      </c>
      <c r="K362" s="4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20</v>
      </c>
      <c r="D363" t="s">
        <v>21</v>
      </c>
      <c r="E363" s="5">
        <v>567805.02</v>
      </c>
      <c r="F363" s="4">
        <v>0</v>
      </c>
      <c r="G363" s="4">
        <v>76</v>
      </c>
      <c r="H363" s="4">
        <v>0</v>
      </c>
      <c r="I363" t="s">
        <v>16</v>
      </c>
      <c r="J363" t="s">
        <v>17</v>
      </c>
      <c r="K363" s="4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20</v>
      </c>
      <c r="D364" t="s">
        <v>21</v>
      </c>
      <c r="E364" s="5">
        <v>1210120.8799999999</v>
      </c>
      <c r="F364" s="4">
        <v>0</v>
      </c>
      <c r="G364" s="4">
        <v>112</v>
      </c>
      <c r="H364" s="4">
        <v>0</v>
      </c>
      <c r="I364" t="s">
        <v>16</v>
      </c>
      <c r="J364" t="s">
        <v>78</v>
      </c>
      <c r="K364" s="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5">
        <v>245357.08</v>
      </c>
      <c r="F365" s="4">
        <v>29735</v>
      </c>
      <c r="G365" s="4">
        <v>69</v>
      </c>
      <c r="H365" s="4">
        <v>0</v>
      </c>
      <c r="I365" t="s">
        <v>16</v>
      </c>
      <c r="J365" t="s">
        <v>17</v>
      </c>
      <c r="K365" s="4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 s="4">
        <v>23082</v>
      </c>
      <c r="G366" s="4">
        <v>65</v>
      </c>
      <c r="H366" s="4">
        <v>0</v>
      </c>
      <c r="I366" t="s">
        <v>39</v>
      </c>
      <c r="J366" t="s">
        <v>17</v>
      </c>
      <c r="K366" s="4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5">
        <v>321497.94</v>
      </c>
      <c r="F367" s="4">
        <v>53984</v>
      </c>
      <c r="G367" s="4">
        <v>80</v>
      </c>
      <c r="H367" s="4">
        <v>0</v>
      </c>
      <c r="I367" t="s">
        <v>28</v>
      </c>
      <c r="J367" t="s">
        <v>17</v>
      </c>
      <c r="K367" s="4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20</v>
      </c>
      <c r="D368" t="s">
        <v>35</v>
      </c>
      <c r="E368" s="5">
        <v>1227534.31</v>
      </c>
      <c r="F368" s="4">
        <v>52135</v>
      </c>
      <c r="G368" s="4">
        <v>156</v>
      </c>
      <c r="H368" s="4">
        <v>0</v>
      </c>
      <c r="I368" t="s">
        <v>16</v>
      </c>
      <c r="J368" t="s">
        <v>29</v>
      </c>
      <c r="K368" s="4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20</v>
      </c>
      <c r="D369" t="s">
        <v>35</v>
      </c>
      <c r="E369" s="5">
        <v>272221.07</v>
      </c>
      <c r="F369" s="4">
        <v>17576</v>
      </c>
      <c r="G369" s="4">
        <v>71</v>
      </c>
      <c r="H369" s="4">
        <v>0</v>
      </c>
      <c r="I369" t="s">
        <v>28</v>
      </c>
      <c r="J369" t="s">
        <v>17</v>
      </c>
      <c r="K369" s="4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20</v>
      </c>
      <c r="D370" t="s">
        <v>21</v>
      </c>
      <c r="E370" s="5">
        <v>245744.09</v>
      </c>
      <c r="F370" s="4">
        <v>29486</v>
      </c>
      <c r="G370" s="4">
        <v>62</v>
      </c>
      <c r="H370" s="4">
        <v>0</v>
      </c>
      <c r="I370" t="s">
        <v>16</v>
      </c>
      <c r="J370" t="s">
        <v>17</v>
      </c>
      <c r="K370" s="4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20</v>
      </c>
      <c r="D371" t="s">
        <v>15</v>
      </c>
      <c r="E371" s="5">
        <v>355484.53</v>
      </c>
      <c r="F371" s="4">
        <v>58557</v>
      </c>
      <c r="G371" s="4">
        <v>88</v>
      </c>
      <c r="H371" s="4">
        <v>0</v>
      </c>
      <c r="I371" t="s">
        <v>28</v>
      </c>
      <c r="J371" t="s">
        <v>17</v>
      </c>
      <c r="K371" s="4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5">
        <v>492954.97</v>
      </c>
      <c r="F372" s="4">
        <v>25632</v>
      </c>
      <c r="G372" s="4">
        <v>63</v>
      </c>
      <c r="H372" s="4">
        <v>0</v>
      </c>
      <c r="I372" t="s">
        <v>16</v>
      </c>
      <c r="J372" t="s">
        <v>24</v>
      </c>
      <c r="K372" s="4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20</v>
      </c>
      <c r="D373" t="s">
        <v>31</v>
      </c>
      <c r="E373" s="5">
        <v>803645.03</v>
      </c>
      <c r="F373" s="4">
        <v>0</v>
      </c>
      <c r="G373" s="4">
        <v>112</v>
      </c>
      <c r="H373" s="4">
        <v>0</v>
      </c>
      <c r="I373" t="s">
        <v>16</v>
      </c>
      <c r="J373" t="s">
        <v>78</v>
      </c>
      <c r="K373" s="4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5">
        <v>427691.53</v>
      </c>
      <c r="F374" s="4">
        <v>18768</v>
      </c>
      <c r="G374" s="4">
        <v>68</v>
      </c>
      <c r="H374" s="4">
        <v>36586</v>
      </c>
      <c r="I374" t="s">
        <v>28</v>
      </c>
      <c r="J374" t="s">
        <v>17</v>
      </c>
      <c r="K374" s="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20</v>
      </c>
      <c r="D375" t="s">
        <v>21</v>
      </c>
      <c r="E375" s="5">
        <v>3347334.95</v>
      </c>
      <c r="F375" s="4">
        <v>33190</v>
      </c>
      <c r="G375" s="4">
        <v>106</v>
      </c>
      <c r="H375" s="4">
        <v>0</v>
      </c>
      <c r="I375" t="s">
        <v>16</v>
      </c>
      <c r="J375" t="s">
        <v>29</v>
      </c>
      <c r="K375" s="4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20</v>
      </c>
      <c r="D376" t="s">
        <v>15</v>
      </c>
      <c r="E376" s="5">
        <v>596058.14</v>
      </c>
      <c r="F376" s="4">
        <v>47945</v>
      </c>
      <c r="G376" s="4">
        <v>74</v>
      </c>
      <c r="H376" s="4">
        <v>0</v>
      </c>
      <c r="I376" t="s">
        <v>16</v>
      </c>
      <c r="J376" t="s">
        <v>24</v>
      </c>
      <c r="K376" s="4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5">
        <v>4479546.9400000004</v>
      </c>
      <c r="F377" s="4">
        <v>58778</v>
      </c>
      <c r="G377" s="4">
        <v>126</v>
      </c>
      <c r="H377" s="4">
        <v>0</v>
      </c>
      <c r="I377" t="s">
        <v>39</v>
      </c>
      <c r="J377" t="s">
        <v>29</v>
      </c>
      <c r="K377" s="4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20</v>
      </c>
      <c r="D378" t="s">
        <v>31</v>
      </c>
      <c r="E378" s="5">
        <v>383211.81</v>
      </c>
      <c r="F378" s="4">
        <v>15192</v>
      </c>
      <c r="G378" s="4">
        <v>100</v>
      </c>
      <c r="H378" s="4">
        <v>0</v>
      </c>
      <c r="I378" t="s">
        <v>16</v>
      </c>
      <c r="J378" t="s">
        <v>29</v>
      </c>
      <c r="K378" s="4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20</v>
      </c>
      <c r="D379" t="s">
        <v>21</v>
      </c>
      <c r="E379" s="5">
        <v>683793.26</v>
      </c>
      <c r="F379" s="4">
        <v>51859</v>
      </c>
      <c r="G379" s="4">
        <v>171</v>
      </c>
      <c r="H379" s="4">
        <v>0</v>
      </c>
      <c r="I379" t="s">
        <v>16</v>
      </c>
      <c r="J379" t="s">
        <v>29</v>
      </c>
      <c r="K379" s="4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20</v>
      </c>
      <c r="D380" t="s">
        <v>31</v>
      </c>
      <c r="E380" s="5">
        <v>528526.81999999995</v>
      </c>
      <c r="F380" s="4">
        <v>23422</v>
      </c>
      <c r="G380" s="4">
        <v>72</v>
      </c>
      <c r="H380" s="4">
        <v>0</v>
      </c>
      <c r="I380" t="s">
        <v>16</v>
      </c>
      <c r="J380" t="s">
        <v>24</v>
      </c>
      <c r="K380" s="4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20</v>
      </c>
      <c r="D381" t="s">
        <v>35</v>
      </c>
      <c r="E381" s="5">
        <v>309651.12</v>
      </c>
      <c r="F381" s="4">
        <v>21604</v>
      </c>
      <c r="G381" s="4">
        <v>79</v>
      </c>
      <c r="H381" s="4">
        <v>0</v>
      </c>
      <c r="I381" t="s">
        <v>28</v>
      </c>
      <c r="J381" t="s">
        <v>17</v>
      </c>
      <c r="K381" s="4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5">
        <v>358971.07</v>
      </c>
      <c r="F382" s="4">
        <v>79298</v>
      </c>
      <c r="G382" s="4">
        <v>90</v>
      </c>
      <c r="H382" s="4">
        <v>0</v>
      </c>
      <c r="I382" t="s">
        <v>16</v>
      </c>
      <c r="J382" t="s">
        <v>17</v>
      </c>
      <c r="K382" s="4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20</v>
      </c>
      <c r="D383" t="s">
        <v>21</v>
      </c>
      <c r="E383" s="5">
        <v>258240.85</v>
      </c>
      <c r="F383" s="4">
        <v>76731</v>
      </c>
      <c r="G383" s="4">
        <v>64</v>
      </c>
      <c r="H383" s="4">
        <v>0</v>
      </c>
      <c r="I383" t="s">
        <v>39</v>
      </c>
      <c r="J383" t="s">
        <v>17</v>
      </c>
      <c r="K383" s="4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5">
        <v>340391.94</v>
      </c>
      <c r="F384" s="4">
        <v>38460</v>
      </c>
      <c r="G384" s="4">
        <v>88</v>
      </c>
      <c r="H384" s="4">
        <v>36526</v>
      </c>
      <c r="I384" t="s">
        <v>16</v>
      </c>
      <c r="J384" t="s">
        <v>17</v>
      </c>
      <c r="K384" s="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5">
        <v>1357567.6</v>
      </c>
      <c r="F385" s="4">
        <v>48534</v>
      </c>
      <c r="G385" s="4">
        <v>115</v>
      </c>
      <c r="H385" s="4">
        <v>36526</v>
      </c>
      <c r="I385" t="s">
        <v>16</v>
      </c>
      <c r="J385" t="s">
        <v>29</v>
      </c>
      <c r="K385" s="4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5">
        <v>343613.43</v>
      </c>
      <c r="F386" s="4">
        <v>30817</v>
      </c>
      <c r="G386" s="4">
        <v>88</v>
      </c>
      <c r="H386" s="4">
        <v>0</v>
      </c>
      <c r="I386" t="s">
        <v>28</v>
      </c>
      <c r="J386" t="s">
        <v>17</v>
      </c>
      <c r="K386" s="4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5">
        <v>2868582.79</v>
      </c>
      <c r="F387" s="4">
        <v>48412</v>
      </c>
      <c r="G387" s="4">
        <v>104</v>
      </c>
      <c r="H387" s="4">
        <v>0</v>
      </c>
      <c r="I387" t="s">
        <v>16</v>
      </c>
      <c r="J387" t="s">
        <v>29</v>
      </c>
      <c r="K387" s="4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5">
        <v>450267.97</v>
      </c>
      <c r="F388" s="4">
        <v>68798</v>
      </c>
      <c r="G388" s="4">
        <v>114</v>
      </c>
      <c r="H388" s="4">
        <v>0</v>
      </c>
      <c r="I388" t="s">
        <v>16</v>
      </c>
      <c r="J388" t="s">
        <v>29</v>
      </c>
      <c r="K388" s="4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5">
        <v>618311.15</v>
      </c>
      <c r="F389" s="4">
        <v>23712</v>
      </c>
      <c r="G389" s="4">
        <v>85</v>
      </c>
      <c r="H389" s="4">
        <v>0</v>
      </c>
      <c r="I389" t="s">
        <v>16</v>
      </c>
      <c r="J389" t="s">
        <v>17</v>
      </c>
      <c r="K389" s="4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 s="4">
        <v>28142</v>
      </c>
      <c r="G390" s="4">
        <v>105</v>
      </c>
      <c r="H390" s="4">
        <v>0</v>
      </c>
      <c r="I390" t="s">
        <v>16</v>
      </c>
      <c r="J390" t="s">
        <v>78</v>
      </c>
      <c r="K390" s="4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5">
        <v>1892933.06</v>
      </c>
      <c r="F391" s="4">
        <v>72196</v>
      </c>
      <c r="G391" s="4">
        <v>68</v>
      </c>
      <c r="H391" s="4">
        <v>0</v>
      </c>
      <c r="I391" t="s">
        <v>16</v>
      </c>
      <c r="J391" t="s">
        <v>17</v>
      </c>
      <c r="K391" s="4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5">
        <v>555329.57999999996</v>
      </c>
      <c r="F392" s="4">
        <v>68197</v>
      </c>
      <c r="G392" s="4">
        <v>69</v>
      </c>
      <c r="H392" s="4">
        <v>0</v>
      </c>
      <c r="I392" t="s">
        <v>16</v>
      </c>
      <c r="J392" t="s">
        <v>17</v>
      </c>
      <c r="K392" s="4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5">
        <v>501125.92</v>
      </c>
      <c r="F393" s="4">
        <v>75248</v>
      </c>
      <c r="G393" s="4">
        <v>63</v>
      </c>
      <c r="H393" s="4">
        <v>0</v>
      </c>
      <c r="I393" t="s">
        <v>28</v>
      </c>
      <c r="J393" t="s">
        <v>17</v>
      </c>
      <c r="K393" s="4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5">
        <v>1044244.63</v>
      </c>
      <c r="F394" s="4">
        <v>0</v>
      </c>
      <c r="G394" s="4">
        <v>98</v>
      </c>
      <c r="H394" s="4">
        <v>0</v>
      </c>
      <c r="I394" t="s">
        <v>16</v>
      </c>
      <c r="J394" t="s">
        <v>17</v>
      </c>
      <c r="K394" s="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5">
        <v>219961.78</v>
      </c>
      <c r="F395" s="4">
        <v>0</v>
      </c>
      <c r="G395" s="4">
        <v>65</v>
      </c>
      <c r="H395" s="4">
        <v>36526</v>
      </c>
      <c r="I395" t="s">
        <v>16</v>
      </c>
      <c r="J395" t="s">
        <v>24</v>
      </c>
      <c r="K395" s="4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20</v>
      </c>
      <c r="D396" t="s">
        <v>15</v>
      </c>
      <c r="E396" s="5">
        <v>512317.09</v>
      </c>
      <c r="F396" s="4">
        <v>89879</v>
      </c>
      <c r="G396" s="4">
        <v>63</v>
      </c>
      <c r="H396" s="4">
        <v>0</v>
      </c>
      <c r="I396" t="s">
        <v>16</v>
      </c>
      <c r="J396" t="s">
        <v>24</v>
      </c>
      <c r="K396" s="4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 s="4">
        <v>46998</v>
      </c>
      <c r="G397" s="4">
        <v>96</v>
      </c>
      <c r="H397" s="4">
        <v>0</v>
      </c>
      <c r="I397" t="s">
        <v>28</v>
      </c>
      <c r="J397" t="s">
        <v>17</v>
      </c>
      <c r="K397" s="4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5">
        <v>261302.31</v>
      </c>
      <c r="F398" s="4">
        <v>57099</v>
      </c>
      <c r="G398" s="4">
        <v>67</v>
      </c>
      <c r="H398" s="4">
        <v>0</v>
      </c>
      <c r="I398" t="s">
        <v>16</v>
      </c>
      <c r="J398" t="s">
        <v>24</v>
      </c>
      <c r="K398" s="4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5">
        <v>908063.97</v>
      </c>
      <c r="F399" s="4">
        <v>33897</v>
      </c>
      <c r="G399" s="4">
        <v>114</v>
      </c>
      <c r="H399" s="4">
        <v>0</v>
      </c>
      <c r="I399" t="s">
        <v>28</v>
      </c>
      <c r="J399" t="s">
        <v>29</v>
      </c>
      <c r="K399" s="4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5">
        <v>1377097.62</v>
      </c>
      <c r="F400" s="4">
        <v>59207</v>
      </c>
      <c r="G400" s="4">
        <v>116</v>
      </c>
      <c r="H400" s="4">
        <v>0</v>
      </c>
      <c r="I400" t="s">
        <v>16</v>
      </c>
      <c r="J400" t="s">
        <v>17</v>
      </c>
      <c r="K400" s="4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 s="4">
        <v>40171</v>
      </c>
      <c r="G401" s="4">
        <v>73</v>
      </c>
      <c r="H401" s="4">
        <v>0</v>
      </c>
      <c r="I401" t="s">
        <v>16</v>
      </c>
      <c r="J401" t="s">
        <v>17</v>
      </c>
      <c r="K401" s="4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5">
        <v>540891.15</v>
      </c>
      <c r="F402" s="4">
        <v>80192</v>
      </c>
      <c r="G402" s="4">
        <v>67</v>
      </c>
      <c r="H402" s="4">
        <v>0</v>
      </c>
      <c r="I402" t="s">
        <v>16</v>
      </c>
      <c r="J402" t="s">
        <v>17</v>
      </c>
      <c r="K402" s="4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5">
        <v>677030.68</v>
      </c>
      <c r="F403" s="4">
        <v>74422</v>
      </c>
      <c r="G403" s="4">
        <v>85</v>
      </c>
      <c r="H403" s="4">
        <v>36526</v>
      </c>
      <c r="I403" t="s">
        <v>16</v>
      </c>
      <c r="J403" t="s">
        <v>17</v>
      </c>
      <c r="K403" s="4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 s="4">
        <v>0</v>
      </c>
      <c r="G404" s="4">
        <v>87</v>
      </c>
      <c r="H404" s="4">
        <v>0</v>
      </c>
      <c r="I404" t="s">
        <v>39</v>
      </c>
      <c r="J404" t="s">
        <v>17</v>
      </c>
      <c r="K404" s="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5">
        <v>353805.95</v>
      </c>
      <c r="F405" s="4">
        <v>0</v>
      </c>
      <c r="G405" s="4">
        <v>67</v>
      </c>
      <c r="H405" s="4">
        <v>36647</v>
      </c>
      <c r="I405" t="s">
        <v>16</v>
      </c>
      <c r="J405" t="s">
        <v>17</v>
      </c>
      <c r="K405" s="4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5">
        <v>2909123.94</v>
      </c>
      <c r="F406" s="4">
        <v>34226</v>
      </c>
      <c r="G406" s="4">
        <v>244</v>
      </c>
      <c r="H406" s="4">
        <v>0</v>
      </c>
      <c r="I406" t="s">
        <v>16</v>
      </c>
      <c r="J406" t="s">
        <v>65</v>
      </c>
      <c r="K406" s="4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5">
        <v>1983420.12</v>
      </c>
      <c r="F407" s="4">
        <v>65989</v>
      </c>
      <c r="G407" s="4">
        <v>123</v>
      </c>
      <c r="H407" s="4">
        <v>36526</v>
      </c>
      <c r="I407" t="s">
        <v>16</v>
      </c>
      <c r="J407" t="s">
        <v>29</v>
      </c>
      <c r="K407" s="4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 s="4">
        <v>30686</v>
      </c>
      <c r="G408" s="4">
        <v>61</v>
      </c>
      <c r="H408" s="4">
        <v>0</v>
      </c>
      <c r="I408" t="s">
        <v>28</v>
      </c>
      <c r="J408" t="s">
        <v>17</v>
      </c>
      <c r="K408" s="4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5">
        <v>3553784.6</v>
      </c>
      <c r="F409" s="4">
        <v>0</v>
      </c>
      <c r="G409" s="4">
        <v>113</v>
      </c>
      <c r="H409" s="4">
        <v>0</v>
      </c>
      <c r="I409" t="s">
        <v>16</v>
      </c>
      <c r="J409" t="s">
        <v>78</v>
      </c>
      <c r="K409" s="4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5">
        <v>3461137.9</v>
      </c>
      <c r="F410" s="4">
        <v>20090</v>
      </c>
      <c r="G410" s="4">
        <v>109</v>
      </c>
      <c r="H410" s="4">
        <v>0</v>
      </c>
      <c r="I410" t="s">
        <v>16</v>
      </c>
      <c r="J410" t="s">
        <v>78</v>
      </c>
      <c r="K410" s="4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 s="4">
        <v>0</v>
      </c>
      <c r="G411" s="4">
        <v>183</v>
      </c>
      <c r="H411" s="4">
        <v>0</v>
      </c>
      <c r="I411" t="s">
        <v>16</v>
      </c>
      <c r="J411" t="s">
        <v>65</v>
      </c>
      <c r="K411" s="4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 s="4">
        <v>77094</v>
      </c>
      <c r="G412" s="4">
        <v>176</v>
      </c>
      <c r="H412" s="4">
        <v>0</v>
      </c>
      <c r="I412" t="s">
        <v>16</v>
      </c>
      <c r="J412" t="s">
        <v>29</v>
      </c>
      <c r="K412" s="4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5">
        <v>590408.81999999995</v>
      </c>
      <c r="F413" s="4">
        <v>97413</v>
      </c>
      <c r="G413" s="4">
        <v>73</v>
      </c>
      <c r="H413" s="4">
        <v>0</v>
      </c>
      <c r="I413" t="s">
        <v>16</v>
      </c>
      <c r="J413" t="s">
        <v>17</v>
      </c>
      <c r="K413" s="4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5">
        <v>559583.5</v>
      </c>
      <c r="F414" s="4">
        <v>79189</v>
      </c>
      <c r="G414" s="4">
        <v>69</v>
      </c>
      <c r="H414" s="4">
        <v>0</v>
      </c>
      <c r="I414" t="s">
        <v>28</v>
      </c>
      <c r="J414" t="s">
        <v>17</v>
      </c>
      <c r="K414" s="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5">
        <v>229430.36</v>
      </c>
      <c r="F415" s="4">
        <v>0</v>
      </c>
      <c r="G415" s="4">
        <v>62</v>
      </c>
      <c r="H415" s="4">
        <v>0</v>
      </c>
      <c r="I415" t="s">
        <v>16</v>
      </c>
      <c r="J415" t="s">
        <v>24</v>
      </c>
      <c r="K415" s="4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5">
        <v>627391.18999999994</v>
      </c>
      <c r="F416" s="4">
        <v>18577</v>
      </c>
      <c r="G416" s="4">
        <v>86</v>
      </c>
      <c r="H416" s="4">
        <v>0</v>
      </c>
      <c r="I416" t="s">
        <v>16</v>
      </c>
      <c r="J416" t="s">
        <v>17</v>
      </c>
      <c r="K416" s="4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5">
        <v>372672.8</v>
      </c>
      <c r="F417" s="4">
        <v>0</v>
      </c>
      <c r="G417" s="4">
        <v>112</v>
      </c>
      <c r="H417" s="4">
        <v>36526</v>
      </c>
      <c r="I417" t="s">
        <v>39</v>
      </c>
      <c r="J417" t="s">
        <v>78</v>
      </c>
      <c r="K417" s="4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5">
        <v>265671.31</v>
      </c>
      <c r="F418" s="4">
        <v>62777</v>
      </c>
      <c r="G418" s="4">
        <v>67</v>
      </c>
      <c r="H418" s="4">
        <v>0</v>
      </c>
      <c r="I418" t="s">
        <v>16</v>
      </c>
      <c r="J418" t="s">
        <v>24</v>
      </c>
      <c r="K418" s="4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</v>
      </c>
      <c r="D419" t="s">
        <v>21</v>
      </c>
      <c r="E419" s="5">
        <v>511068.08</v>
      </c>
      <c r="F419" s="4">
        <v>0</v>
      </c>
      <c r="G419" s="4">
        <v>74</v>
      </c>
      <c r="H419" s="4">
        <v>0</v>
      </c>
      <c r="I419" t="s">
        <v>28</v>
      </c>
      <c r="J419" t="s">
        <v>17</v>
      </c>
      <c r="K419" s="4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</v>
      </c>
      <c r="D420" t="s">
        <v>35</v>
      </c>
      <c r="E420" s="5">
        <v>712659.65</v>
      </c>
      <c r="F420" s="4">
        <v>17483</v>
      </c>
      <c r="G420" s="4">
        <v>183</v>
      </c>
      <c r="H420" s="4">
        <v>0</v>
      </c>
      <c r="I420" t="s">
        <v>16</v>
      </c>
      <c r="J420" t="s">
        <v>117</v>
      </c>
      <c r="K420" s="4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</v>
      </c>
      <c r="D421" t="s">
        <v>15</v>
      </c>
      <c r="E421" s="5">
        <v>460163.41</v>
      </c>
      <c r="F421" s="4">
        <v>84394</v>
      </c>
      <c r="G421" s="4">
        <v>114</v>
      </c>
      <c r="H421" s="4">
        <v>0</v>
      </c>
      <c r="I421" t="s">
        <v>16</v>
      </c>
      <c r="J421" t="s">
        <v>29</v>
      </c>
      <c r="K421" s="4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</v>
      </c>
      <c r="D422" t="s">
        <v>35</v>
      </c>
      <c r="E422" s="5">
        <v>915523.97</v>
      </c>
      <c r="F422" s="4">
        <v>0</v>
      </c>
      <c r="G422" s="4">
        <v>127</v>
      </c>
      <c r="H422" s="4">
        <v>0</v>
      </c>
      <c r="I422" t="s">
        <v>16</v>
      </c>
      <c r="J422" t="s">
        <v>78</v>
      </c>
      <c r="K422" s="4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5">
        <v>1480805.62</v>
      </c>
      <c r="F423" s="4">
        <v>41440</v>
      </c>
      <c r="G423" s="4">
        <v>62</v>
      </c>
      <c r="H423" s="4">
        <v>36526</v>
      </c>
      <c r="I423" t="s">
        <v>16</v>
      </c>
      <c r="J423" t="s">
        <v>17</v>
      </c>
      <c r="K423" s="4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</v>
      </c>
      <c r="D424" t="s">
        <v>31</v>
      </c>
      <c r="E424" s="5">
        <v>890167.84</v>
      </c>
      <c r="F424" s="4">
        <v>0</v>
      </c>
      <c r="G424" s="4">
        <v>136</v>
      </c>
      <c r="H424" s="4">
        <v>36526</v>
      </c>
      <c r="I424" t="s">
        <v>16</v>
      </c>
      <c r="J424" t="s">
        <v>78</v>
      </c>
      <c r="K424" s="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5">
        <v>573459.81999999995</v>
      </c>
      <c r="F425" s="4">
        <v>98132</v>
      </c>
      <c r="G425" s="4">
        <v>71</v>
      </c>
      <c r="H425" s="4">
        <v>0</v>
      </c>
      <c r="I425" t="s">
        <v>16</v>
      </c>
      <c r="J425" t="s">
        <v>24</v>
      </c>
      <c r="K425" s="4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5">
        <v>417769.7</v>
      </c>
      <c r="F426" s="4">
        <v>0</v>
      </c>
      <c r="G426" s="4">
        <v>112</v>
      </c>
      <c r="H426" s="4">
        <v>0</v>
      </c>
      <c r="I426" t="s">
        <v>16</v>
      </c>
      <c r="J426" t="s">
        <v>17</v>
      </c>
      <c r="K426" s="4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</v>
      </c>
      <c r="D427" t="s">
        <v>21</v>
      </c>
      <c r="E427" s="5">
        <v>2777628.91</v>
      </c>
      <c r="F427" s="4">
        <v>88220</v>
      </c>
      <c r="G427" s="4">
        <v>230</v>
      </c>
      <c r="H427" s="4">
        <v>0</v>
      </c>
      <c r="I427" t="s">
        <v>16</v>
      </c>
      <c r="J427" t="s">
        <v>117</v>
      </c>
      <c r="K427" s="4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5">
        <v>1036434.75</v>
      </c>
      <c r="F428" s="4">
        <v>58327</v>
      </c>
      <c r="G428" s="4">
        <v>129</v>
      </c>
      <c r="H428" s="4">
        <v>0</v>
      </c>
      <c r="I428" t="s">
        <v>16</v>
      </c>
      <c r="J428" t="s">
        <v>29</v>
      </c>
      <c r="K428" s="4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</v>
      </c>
      <c r="D429" t="s">
        <v>15</v>
      </c>
      <c r="E429" s="5">
        <v>785190.14</v>
      </c>
      <c r="F429" s="4">
        <v>25950</v>
      </c>
      <c r="G429" s="4">
        <v>66</v>
      </c>
      <c r="H429" s="4">
        <v>0</v>
      </c>
      <c r="I429" t="s">
        <v>16</v>
      </c>
      <c r="J429" t="s">
        <v>24</v>
      </c>
      <c r="K429" s="4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</v>
      </c>
      <c r="D430" t="s">
        <v>31</v>
      </c>
      <c r="E430" s="5">
        <v>477294.38</v>
      </c>
      <c r="F430" s="4">
        <v>20993</v>
      </c>
      <c r="G430" s="4">
        <v>133</v>
      </c>
      <c r="H430" s="4">
        <v>0</v>
      </c>
      <c r="I430" t="s">
        <v>28</v>
      </c>
      <c r="J430" t="s">
        <v>29</v>
      </c>
      <c r="K430" s="4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</v>
      </c>
      <c r="D431" t="s">
        <v>31</v>
      </c>
      <c r="E431" s="5">
        <v>1422650.49</v>
      </c>
      <c r="F431" s="4">
        <v>65726</v>
      </c>
      <c r="G431" s="4">
        <v>177</v>
      </c>
      <c r="H431" s="4">
        <v>0</v>
      </c>
      <c r="I431" t="s">
        <v>28</v>
      </c>
      <c r="J431" t="s">
        <v>29</v>
      </c>
      <c r="K431" s="4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21</v>
      </c>
      <c r="E432" s="5">
        <v>287543.24</v>
      </c>
      <c r="F432" s="4">
        <v>84768</v>
      </c>
      <c r="G432" s="4">
        <v>72</v>
      </c>
      <c r="H432" s="4">
        <v>0</v>
      </c>
      <c r="I432" t="s">
        <v>16</v>
      </c>
      <c r="J432" t="s">
        <v>24</v>
      </c>
      <c r="K432" s="4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5">
        <v>504129.96</v>
      </c>
      <c r="F433" s="4">
        <v>36234</v>
      </c>
      <c r="G433" s="4">
        <v>63</v>
      </c>
      <c r="H433" s="4">
        <v>0</v>
      </c>
      <c r="I433" t="s">
        <v>16</v>
      </c>
      <c r="J433" t="s">
        <v>17</v>
      </c>
      <c r="K433" s="4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</v>
      </c>
      <c r="D434" t="s">
        <v>35</v>
      </c>
      <c r="E434" s="5">
        <v>436293.12</v>
      </c>
      <c r="F434" s="4">
        <v>58842</v>
      </c>
      <c r="G434" s="4">
        <v>110</v>
      </c>
      <c r="H434" s="4">
        <v>0</v>
      </c>
      <c r="I434" t="s">
        <v>16</v>
      </c>
      <c r="J434" t="s">
        <v>17</v>
      </c>
      <c r="K434" s="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5">
        <v>962452.44</v>
      </c>
      <c r="F435" s="4">
        <v>25629</v>
      </c>
      <c r="G435" s="4">
        <v>124</v>
      </c>
      <c r="H435" s="4">
        <v>36557</v>
      </c>
      <c r="I435" t="s">
        <v>28</v>
      </c>
      <c r="J435" t="s">
        <v>78</v>
      </c>
      <c r="K435" s="4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5">
        <v>2191440.5499999998</v>
      </c>
      <c r="F436" s="4">
        <v>77311</v>
      </c>
      <c r="G436" s="4">
        <v>181</v>
      </c>
      <c r="H436" s="4">
        <v>0</v>
      </c>
      <c r="I436" t="s">
        <v>16</v>
      </c>
      <c r="J436" t="s">
        <v>29</v>
      </c>
      <c r="K436" s="4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</v>
      </c>
      <c r="D437" t="s">
        <v>80</v>
      </c>
      <c r="E437" s="5">
        <v>694842.22</v>
      </c>
      <c r="F437" s="4">
        <v>0</v>
      </c>
      <c r="G437" s="4">
        <v>196</v>
      </c>
      <c r="H437" s="4">
        <v>36557</v>
      </c>
      <c r="I437" t="s">
        <v>16</v>
      </c>
      <c r="J437" t="s">
        <v>65</v>
      </c>
      <c r="K437" s="4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5">
        <v>247152.84</v>
      </c>
      <c r="F438" s="4">
        <v>95697</v>
      </c>
      <c r="G438" s="4">
        <v>61</v>
      </c>
      <c r="H438" s="4">
        <v>0</v>
      </c>
      <c r="I438" t="s">
        <v>16</v>
      </c>
      <c r="J438" t="s">
        <v>24</v>
      </c>
      <c r="K438" s="4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5">
        <v>2190391.36</v>
      </c>
      <c r="F439" s="4">
        <v>22254</v>
      </c>
      <c r="G439" s="4">
        <v>79</v>
      </c>
      <c r="H439" s="4">
        <v>0</v>
      </c>
      <c r="I439" t="s">
        <v>16</v>
      </c>
      <c r="J439" t="s">
        <v>17</v>
      </c>
      <c r="K439" s="4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</v>
      </c>
      <c r="D440" t="s">
        <v>31</v>
      </c>
      <c r="E440" s="5">
        <v>902882.14</v>
      </c>
      <c r="F440" s="4">
        <v>65974</v>
      </c>
      <c r="G440" s="4">
        <v>113</v>
      </c>
      <c r="H440" s="4">
        <v>0</v>
      </c>
      <c r="I440" t="s">
        <v>16</v>
      </c>
      <c r="J440" t="s">
        <v>78</v>
      </c>
      <c r="K440" s="4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5">
        <v>530375.94999999995</v>
      </c>
      <c r="F441" s="4">
        <v>0</v>
      </c>
      <c r="G441" s="4">
        <v>76</v>
      </c>
      <c r="H441" s="4">
        <v>0</v>
      </c>
      <c r="I441" t="s">
        <v>16</v>
      </c>
      <c r="J441" t="s">
        <v>17</v>
      </c>
      <c r="K441" s="4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5">
        <v>2070825.88</v>
      </c>
      <c r="F442" s="4">
        <v>92079</v>
      </c>
      <c r="G442" s="4">
        <v>65</v>
      </c>
      <c r="H442" s="4">
        <v>36526</v>
      </c>
      <c r="I442" t="s">
        <v>28</v>
      </c>
      <c r="J442" t="s">
        <v>17</v>
      </c>
      <c r="K442" s="4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</v>
      </c>
      <c r="D443" t="s">
        <v>31</v>
      </c>
      <c r="E443" s="5">
        <v>512376.81</v>
      </c>
      <c r="F443" s="4">
        <v>0</v>
      </c>
      <c r="G443" s="4">
        <v>74</v>
      </c>
      <c r="H443" s="4">
        <v>0</v>
      </c>
      <c r="I443" t="s">
        <v>16</v>
      </c>
      <c r="J443" t="s">
        <v>24</v>
      </c>
      <c r="K443" s="4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</v>
      </c>
      <c r="D444" t="s">
        <v>35</v>
      </c>
      <c r="E444" s="5">
        <v>949234.3</v>
      </c>
      <c r="F444" s="4">
        <v>0</v>
      </c>
      <c r="G444" s="4">
        <v>132</v>
      </c>
      <c r="H444" s="4">
        <v>0</v>
      </c>
      <c r="I444" t="s">
        <v>16</v>
      </c>
      <c r="J444" t="s">
        <v>29</v>
      </c>
      <c r="K444" s="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5">
        <v>820486.32</v>
      </c>
      <c r="F445" s="4">
        <v>0</v>
      </c>
      <c r="G445" s="4">
        <v>73</v>
      </c>
      <c r="H445" s="4">
        <v>0</v>
      </c>
      <c r="I445" t="s">
        <v>16</v>
      </c>
      <c r="J445" t="s">
        <v>17</v>
      </c>
      <c r="K445" s="4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5">
        <v>987729.57</v>
      </c>
      <c r="F446" s="4">
        <v>67752</v>
      </c>
      <c r="G446" s="4">
        <v>131</v>
      </c>
      <c r="H446" s="4">
        <v>36617</v>
      </c>
      <c r="I446" t="s">
        <v>16</v>
      </c>
      <c r="J446" t="s">
        <v>78</v>
      </c>
      <c r="K446" s="4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5">
        <v>481500.97</v>
      </c>
      <c r="F447" s="4">
        <v>25398</v>
      </c>
      <c r="G447" s="4">
        <v>64</v>
      </c>
      <c r="H447" s="4">
        <v>0</v>
      </c>
      <c r="I447" t="s">
        <v>28</v>
      </c>
      <c r="J447" t="s">
        <v>17</v>
      </c>
      <c r="K447" s="4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</v>
      </c>
      <c r="D448" t="s">
        <v>31</v>
      </c>
      <c r="E448" s="5">
        <v>627701.17000000004</v>
      </c>
      <c r="F448" s="4">
        <v>0</v>
      </c>
      <c r="G448" s="4">
        <v>88</v>
      </c>
      <c r="H448" s="4">
        <v>0</v>
      </c>
      <c r="I448" t="s">
        <v>16</v>
      </c>
      <c r="J448" t="s">
        <v>17</v>
      </c>
      <c r="K448" s="4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 s="4">
        <v>33321</v>
      </c>
      <c r="G449" s="4">
        <v>105</v>
      </c>
      <c r="H449" s="4">
        <v>0</v>
      </c>
      <c r="I449" t="s">
        <v>39</v>
      </c>
      <c r="J449" t="s">
        <v>29</v>
      </c>
      <c r="K449" s="4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5">
        <v>254945</v>
      </c>
      <c r="F450" s="4">
        <v>0</v>
      </c>
      <c r="G450" s="4">
        <v>78</v>
      </c>
      <c r="H450" s="4">
        <v>0</v>
      </c>
      <c r="I450" t="s">
        <v>28</v>
      </c>
      <c r="J450" t="s">
        <v>17</v>
      </c>
      <c r="K450" s="4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5">
        <v>1131808.98</v>
      </c>
      <c r="F451" s="4">
        <v>38923</v>
      </c>
      <c r="G451" s="4">
        <v>99</v>
      </c>
      <c r="H451" s="4">
        <v>36557</v>
      </c>
      <c r="I451" t="s">
        <v>16</v>
      </c>
      <c r="J451" t="s">
        <v>17</v>
      </c>
      <c r="K451" s="4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5">
        <v>380392.18</v>
      </c>
      <c r="F452" s="4">
        <v>20325</v>
      </c>
      <c r="G452" s="4">
        <v>100</v>
      </c>
      <c r="H452" s="4">
        <v>0</v>
      </c>
      <c r="I452" t="s">
        <v>16</v>
      </c>
      <c r="J452" t="s">
        <v>78</v>
      </c>
      <c r="K452" s="4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5">
        <v>863540.35</v>
      </c>
      <c r="F453" s="4">
        <v>13129</v>
      </c>
      <c r="G453" s="4">
        <v>117</v>
      </c>
      <c r="H453" s="4">
        <v>0</v>
      </c>
      <c r="I453" t="s">
        <v>16</v>
      </c>
      <c r="J453" t="s">
        <v>29</v>
      </c>
      <c r="K453" s="4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5">
        <v>551055.9</v>
      </c>
      <c r="F454" s="4">
        <v>0</v>
      </c>
      <c r="G454" s="4">
        <v>73</v>
      </c>
      <c r="H454" s="4">
        <v>0</v>
      </c>
      <c r="I454" t="s">
        <v>16</v>
      </c>
      <c r="J454" t="s">
        <v>17</v>
      </c>
      <c r="K454" s="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5">
        <v>358588.41</v>
      </c>
      <c r="F455" s="4">
        <v>49080</v>
      </c>
      <c r="G455" s="4">
        <v>91</v>
      </c>
      <c r="H455" s="4">
        <v>0</v>
      </c>
      <c r="I455" t="s">
        <v>28</v>
      </c>
      <c r="J455" t="s">
        <v>17</v>
      </c>
      <c r="K455" s="4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 s="4">
        <v>42536</v>
      </c>
      <c r="G456" s="4">
        <v>63</v>
      </c>
      <c r="H456" s="4">
        <v>0</v>
      </c>
      <c r="I456" t="s">
        <v>16</v>
      </c>
      <c r="J456" t="s">
        <v>17</v>
      </c>
      <c r="K456" s="4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5">
        <v>275694.17</v>
      </c>
      <c r="F457" s="4">
        <v>29926</v>
      </c>
      <c r="G457" s="4">
        <v>74</v>
      </c>
      <c r="H457" s="4">
        <v>0</v>
      </c>
      <c r="I457" t="s">
        <v>28</v>
      </c>
      <c r="J457" t="s">
        <v>17</v>
      </c>
      <c r="K457" s="4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 s="4">
        <v>0</v>
      </c>
      <c r="G458" s="4">
        <v>86</v>
      </c>
      <c r="H458" s="4">
        <v>0</v>
      </c>
      <c r="I458" t="s">
        <v>28</v>
      </c>
      <c r="J458" t="s">
        <v>24</v>
      </c>
      <c r="K458" s="4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5">
        <v>1093717.8500000001</v>
      </c>
      <c r="F459" s="4">
        <v>21450</v>
      </c>
      <c r="G459" s="4">
        <v>138</v>
      </c>
      <c r="H459" s="4">
        <v>0</v>
      </c>
      <c r="I459" t="s">
        <v>16</v>
      </c>
      <c r="J459" t="s">
        <v>78</v>
      </c>
      <c r="K459" s="4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 s="4">
        <v>33345</v>
      </c>
      <c r="G460" s="4">
        <v>65</v>
      </c>
      <c r="H460" s="4">
        <v>0</v>
      </c>
      <c r="I460" t="s">
        <v>28</v>
      </c>
      <c r="J460" t="s">
        <v>17</v>
      </c>
      <c r="K460" s="4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5">
        <v>1011077.82</v>
      </c>
      <c r="F461" s="4">
        <v>15752</v>
      </c>
      <c r="G461" s="4">
        <v>90</v>
      </c>
      <c r="H461" s="4">
        <v>0</v>
      </c>
      <c r="I461" t="s">
        <v>28</v>
      </c>
      <c r="J461" t="s">
        <v>24</v>
      </c>
      <c r="K461" s="4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5">
        <v>511941.43</v>
      </c>
      <c r="F462" s="4">
        <v>40169</v>
      </c>
      <c r="G462" s="4">
        <v>65</v>
      </c>
      <c r="H462" s="4">
        <v>36526</v>
      </c>
      <c r="I462" t="s">
        <v>16</v>
      </c>
      <c r="J462" t="s">
        <v>17</v>
      </c>
      <c r="K462" s="4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5">
        <v>853383.2</v>
      </c>
      <c r="F463" s="4">
        <v>26049</v>
      </c>
      <c r="G463" s="4">
        <v>113</v>
      </c>
      <c r="H463" s="4">
        <v>36526</v>
      </c>
      <c r="I463" t="s">
        <v>16</v>
      </c>
      <c r="J463" t="s">
        <v>29</v>
      </c>
      <c r="K463" s="4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 s="4">
        <v>0</v>
      </c>
      <c r="G464" s="4">
        <v>68</v>
      </c>
      <c r="H464" s="4">
        <v>0</v>
      </c>
      <c r="I464" t="s">
        <v>16</v>
      </c>
      <c r="J464" t="s">
        <v>17</v>
      </c>
      <c r="K464" s="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5">
        <v>804280.38</v>
      </c>
      <c r="F465" s="4">
        <v>55411</v>
      </c>
      <c r="G465" s="4">
        <v>100</v>
      </c>
      <c r="H465" s="4">
        <v>0</v>
      </c>
      <c r="I465" t="s">
        <v>16</v>
      </c>
      <c r="J465" t="s">
        <v>78</v>
      </c>
      <c r="K465" s="4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 s="4">
        <v>12459</v>
      </c>
      <c r="G466" s="4">
        <v>70</v>
      </c>
      <c r="H466" s="4">
        <v>0</v>
      </c>
      <c r="I466" t="s">
        <v>16</v>
      </c>
      <c r="J466" t="s">
        <v>17</v>
      </c>
      <c r="K466" s="4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5">
        <v>1807394</v>
      </c>
      <c r="F467" s="4">
        <v>64620</v>
      </c>
      <c r="G467" s="4">
        <v>76</v>
      </c>
      <c r="H467" s="4">
        <v>36526</v>
      </c>
      <c r="I467" t="s">
        <v>16</v>
      </c>
      <c r="J467" t="s">
        <v>24</v>
      </c>
      <c r="K467" s="4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5">
        <v>243050.66</v>
      </c>
      <c r="F468" s="4">
        <v>83140</v>
      </c>
      <c r="G468" s="4">
        <v>61</v>
      </c>
      <c r="H468" s="4">
        <v>0</v>
      </c>
      <c r="I468" t="s">
        <v>28</v>
      </c>
      <c r="J468" t="s">
        <v>17</v>
      </c>
      <c r="K468" s="4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5">
        <v>316765.84000000003</v>
      </c>
      <c r="F469" s="4">
        <v>0</v>
      </c>
      <c r="G469" s="4">
        <v>92</v>
      </c>
      <c r="H469" s="4">
        <v>0</v>
      </c>
      <c r="I469" t="s">
        <v>28</v>
      </c>
      <c r="J469" t="s">
        <v>17</v>
      </c>
      <c r="K469" s="4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5">
        <v>546560.4</v>
      </c>
      <c r="F470" s="4">
        <v>54422</v>
      </c>
      <c r="G470" s="4">
        <v>68</v>
      </c>
      <c r="H470" s="4">
        <v>0</v>
      </c>
      <c r="I470" t="s">
        <v>28</v>
      </c>
      <c r="J470" t="s">
        <v>17</v>
      </c>
      <c r="K470" s="4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 s="4">
        <v>68309</v>
      </c>
      <c r="G471" s="4">
        <v>131</v>
      </c>
      <c r="H471" s="4">
        <v>0</v>
      </c>
      <c r="I471" t="s">
        <v>28</v>
      </c>
      <c r="J471" t="s">
        <v>29</v>
      </c>
      <c r="K471" s="4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 s="4">
        <v>56621</v>
      </c>
      <c r="G472" s="4">
        <v>65</v>
      </c>
      <c r="H472" s="4">
        <v>36557</v>
      </c>
      <c r="I472" t="s">
        <v>16</v>
      </c>
      <c r="J472" t="s">
        <v>17</v>
      </c>
      <c r="K472" s="4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5">
        <v>282194.71999999997</v>
      </c>
      <c r="F473" s="4">
        <v>38977</v>
      </c>
      <c r="G473" s="4">
        <v>70</v>
      </c>
      <c r="H473" s="4">
        <v>0</v>
      </c>
      <c r="I473" t="s">
        <v>39</v>
      </c>
      <c r="J473" t="s">
        <v>17</v>
      </c>
      <c r="K473" s="4">
        <v>139.489926</v>
      </c>
      <c r="L473" s="2">
        <v>35139.489926000002</v>
      </c>
    </row>
    <row r="474" spans="1:12" x14ac:dyDescent="0.35">
      <c r="A474" t="s">
        <v>513</v>
      </c>
      <c r="B474" t="s">
        <v>19</v>
      </c>
      <c r="C474" t="s">
        <v>27</v>
      </c>
      <c r="D474" t="s">
        <v>21</v>
      </c>
      <c r="E474" s="5">
        <v>775712.81</v>
      </c>
      <c r="F474" s="4">
        <v>0</v>
      </c>
      <c r="G474" s="4">
        <v>111</v>
      </c>
      <c r="H474" s="4">
        <v>0</v>
      </c>
      <c r="I474" t="s">
        <v>28</v>
      </c>
      <c r="J474" t="s">
        <v>24</v>
      </c>
      <c r="K474" s="4">
        <v>607.44590000000005</v>
      </c>
      <c r="L474" s="2">
        <v>35607.445899999999</v>
      </c>
    </row>
    <row r="475" spans="1:12" x14ac:dyDescent="0.35">
      <c r="A475" t="s">
        <v>514</v>
      </c>
      <c r="B475" t="s">
        <v>19</v>
      </c>
      <c r="C475" t="s">
        <v>27</v>
      </c>
      <c r="D475" t="s">
        <v>31</v>
      </c>
      <c r="E475" s="5">
        <v>407913.27</v>
      </c>
      <c r="F475" s="4">
        <v>0</v>
      </c>
      <c r="G475" s="4">
        <v>114</v>
      </c>
      <c r="H475" s="4">
        <v>0</v>
      </c>
      <c r="I475" t="s">
        <v>28</v>
      </c>
      <c r="J475" t="s">
        <v>24</v>
      </c>
      <c r="K475" s="4">
        <v>631.12437199999999</v>
      </c>
      <c r="L475" s="2">
        <v>35631.124371999998</v>
      </c>
    </row>
    <row r="476" spans="1:12" x14ac:dyDescent="0.35">
      <c r="A476" t="s">
        <v>515</v>
      </c>
      <c r="B476" t="s">
        <v>19</v>
      </c>
      <c r="C476" t="s">
        <v>20</v>
      </c>
      <c r="D476" t="s">
        <v>35</v>
      </c>
      <c r="E476" s="5">
        <v>595554.46</v>
      </c>
      <c r="F476" s="4">
        <v>0</v>
      </c>
      <c r="G476" s="4">
        <v>83</v>
      </c>
      <c r="H476" s="4">
        <v>0</v>
      </c>
      <c r="I476" t="s">
        <v>16</v>
      </c>
      <c r="J476" t="s">
        <v>17</v>
      </c>
      <c r="K476" s="4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5">
        <v>1415861.36</v>
      </c>
      <c r="F477" s="4">
        <v>83235</v>
      </c>
      <c r="G477" s="4">
        <v>70</v>
      </c>
      <c r="H477" s="4">
        <v>0</v>
      </c>
      <c r="I477" t="s">
        <v>16</v>
      </c>
      <c r="J477" t="s">
        <v>24</v>
      </c>
      <c r="K477" s="4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 s="4">
        <v>0</v>
      </c>
      <c r="G478" s="4">
        <v>74</v>
      </c>
      <c r="H478" s="4">
        <v>0</v>
      </c>
      <c r="I478" t="s">
        <v>16</v>
      </c>
      <c r="J478" t="s">
        <v>24</v>
      </c>
      <c r="K478" s="4">
        <v>426.655599</v>
      </c>
      <c r="L478" s="2">
        <v>35426.655598999998</v>
      </c>
    </row>
    <row r="479" spans="1:12" x14ac:dyDescent="0.35">
      <c r="A479" t="s">
        <v>518</v>
      </c>
      <c r="B479" t="s">
        <v>19</v>
      </c>
      <c r="C479" t="s">
        <v>27</v>
      </c>
      <c r="D479" t="s">
        <v>35</v>
      </c>
      <c r="E479" s="5">
        <v>628547.68999999994</v>
      </c>
      <c r="F479" s="4">
        <v>32390</v>
      </c>
      <c r="G479" s="4">
        <v>80</v>
      </c>
      <c r="H479" s="4">
        <v>0</v>
      </c>
      <c r="I479" t="s">
        <v>16</v>
      </c>
      <c r="J479" t="s">
        <v>17</v>
      </c>
      <c r="K479" s="4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5">
        <v>1147348.1499999999</v>
      </c>
      <c r="F480" s="4">
        <v>66538</v>
      </c>
      <c r="G480" s="4">
        <v>95</v>
      </c>
      <c r="H480" s="4">
        <v>0</v>
      </c>
      <c r="I480" t="s">
        <v>16</v>
      </c>
      <c r="J480" t="s">
        <v>24</v>
      </c>
      <c r="K480" s="4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5">
        <v>494263.06</v>
      </c>
      <c r="F481" s="4">
        <v>23285</v>
      </c>
      <c r="G481" s="4">
        <v>65</v>
      </c>
      <c r="H481" s="4">
        <v>0</v>
      </c>
      <c r="I481" t="s">
        <v>16</v>
      </c>
      <c r="J481" t="s">
        <v>24</v>
      </c>
      <c r="K481" s="4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5">
        <v>2359468.02</v>
      </c>
      <c r="F482" s="4">
        <v>76358</v>
      </c>
      <c r="G482" s="4">
        <v>66</v>
      </c>
      <c r="H482" s="4">
        <v>0</v>
      </c>
      <c r="I482" t="s">
        <v>16</v>
      </c>
      <c r="J482" t="s">
        <v>17</v>
      </c>
      <c r="K482" s="4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5">
        <v>257250.66</v>
      </c>
      <c r="F483" s="4">
        <v>21104</v>
      </c>
      <c r="G483" s="4">
        <v>66</v>
      </c>
      <c r="H483" s="4">
        <v>0</v>
      </c>
      <c r="I483" t="s">
        <v>16</v>
      </c>
      <c r="J483" t="s">
        <v>17</v>
      </c>
      <c r="K483" s="4">
        <v>118.45497400000001</v>
      </c>
      <c r="L483" s="2">
        <v>35118.454974</v>
      </c>
    </row>
    <row r="484" spans="1:12" x14ac:dyDescent="0.35">
      <c r="A484" t="s">
        <v>523</v>
      </c>
      <c r="B484" t="s">
        <v>19</v>
      </c>
      <c r="C484" t="s">
        <v>20</v>
      </c>
      <c r="D484" t="s">
        <v>35</v>
      </c>
      <c r="E484" s="5">
        <v>538089.86</v>
      </c>
      <c r="F484" s="4">
        <v>55350</v>
      </c>
      <c r="G484" s="4">
        <v>67</v>
      </c>
      <c r="H484" s="4">
        <v>0</v>
      </c>
      <c r="I484" t="s">
        <v>16</v>
      </c>
      <c r="J484" t="s">
        <v>17</v>
      </c>
      <c r="K484" s="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5">
        <v>477055.09</v>
      </c>
      <c r="F485" s="4">
        <v>12964</v>
      </c>
      <c r="G485" s="4">
        <v>65</v>
      </c>
      <c r="H485" s="4">
        <v>0</v>
      </c>
      <c r="I485" t="s">
        <v>16</v>
      </c>
      <c r="J485" t="s">
        <v>24</v>
      </c>
      <c r="K485" s="4">
        <v>362.77454499999999</v>
      </c>
      <c r="L485" s="2">
        <v>35362.774545</v>
      </c>
    </row>
    <row r="486" spans="1:12" x14ac:dyDescent="0.35">
      <c r="A486" t="s">
        <v>525</v>
      </c>
      <c r="B486" t="s">
        <v>19</v>
      </c>
      <c r="C486" t="s">
        <v>20</v>
      </c>
      <c r="D486" t="s">
        <v>15</v>
      </c>
      <c r="E486" s="5">
        <v>675665.14</v>
      </c>
      <c r="F486" s="4">
        <v>33288</v>
      </c>
      <c r="G486" s="4">
        <v>86</v>
      </c>
      <c r="H486" s="4">
        <v>36557</v>
      </c>
      <c r="I486" t="s">
        <v>16</v>
      </c>
      <c r="J486" t="s">
        <v>17</v>
      </c>
      <c r="K486" s="4">
        <v>221.85618400000001</v>
      </c>
      <c r="L486" s="2">
        <v>35221.856183999997</v>
      </c>
    </row>
    <row r="487" spans="1:12" x14ac:dyDescent="0.35">
      <c r="A487" t="s">
        <v>526</v>
      </c>
      <c r="B487" t="s">
        <v>19</v>
      </c>
      <c r="C487" t="s">
        <v>20</v>
      </c>
      <c r="D487" t="s">
        <v>35</v>
      </c>
      <c r="E487" s="5">
        <v>593601.18000000005</v>
      </c>
      <c r="F487" s="4">
        <v>0</v>
      </c>
      <c r="G487" s="4">
        <v>84</v>
      </c>
      <c r="H487" s="4">
        <v>0</v>
      </c>
      <c r="I487" t="s">
        <v>16</v>
      </c>
      <c r="J487" t="s">
        <v>17</v>
      </c>
      <c r="K487" s="4">
        <v>980.16908100000001</v>
      </c>
      <c r="L487" s="2">
        <v>35980.169081</v>
      </c>
    </row>
    <row r="488" spans="1:12" x14ac:dyDescent="0.35">
      <c r="A488" t="s">
        <v>527</v>
      </c>
      <c r="B488" t="s">
        <v>19</v>
      </c>
      <c r="C488" t="s">
        <v>20</v>
      </c>
      <c r="D488" t="s">
        <v>21</v>
      </c>
      <c r="E488" s="5">
        <v>357076.05</v>
      </c>
      <c r="F488" s="4">
        <v>56168</v>
      </c>
      <c r="G488" s="4">
        <v>88</v>
      </c>
      <c r="H488" s="4">
        <v>0</v>
      </c>
      <c r="I488" t="s">
        <v>16</v>
      </c>
      <c r="J488" t="s">
        <v>17</v>
      </c>
      <c r="K488" s="4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 s="4">
        <v>0</v>
      </c>
      <c r="G489" s="4">
        <v>92</v>
      </c>
      <c r="H489" s="4">
        <v>0</v>
      </c>
      <c r="I489" t="s">
        <v>16</v>
      </c>
      <c r="J489" t="s">
        <v>17</v>
      </c>
      <c r="K489" s="4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 s="4">
        <v>23105</v>
      </c>
      <c r="G490" s="4">
        <v>69</v>
      </c>
      <c r="H490" s="4">
        <v>0</v>
      </c>
      <c r="I490" t="s">
        <v>16</v>
      </c>
      <c r="J490" t="s">
        <v>24</v>
      </c>
      <c r="K490" s="4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5">
        <v>273031.38</v>
      </c>
      <c r="F491" s="4">
        <v>36218</v>
      </c>
      <c r="G491" s="4">
        <v>68</v>
      </c>
      <c r="H491" s="4">
        <v>0</v>
      </c>
      <c r="I491" t="s">
        <v>16</v>
      </c>
      <c r="J491" t="s">
        <v>17</v>
      </c>
      <c r="K491" s="4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5">
        <v>498268.14</v>
      </c>
      <c r="F492" s="4">
        <v>52275</v>
      </c>
      <c r="G492" s="4">
        <v>62</v>
      </c>
      <c r="H492" s="4">
        <v>0</v>
      </c>
      <c r="I492" t="s">
        <v>28</v>
      </c>
      <c r="J492" t="s">
        <v>17</v>
      </c>
      <c r="K492" s="4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5">
        <v>876926.68</v>
      </c>
      <c r="F493" s="4">
        <v>49665</v>
      </c>
      <c r="G493" s="4">
        <v>74</v>
      </c>
      <c r="H493" s="4">
        <v>0</v>
      </c>
      <c r="I493" t="s">
        <v>16</v>
      </c>
      <c r="J493" t="s">
        <v>17</v>
      </c>
      <c r="K493" s="4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 s="4">
        <v>32471</v>
      </c>
      <c r="G494" s="4">
        <v>110</v>
      </c>
      <c r="H494" s="4">
        <v>0</v>
      </c>
      <c r="I494" t="s">
        <v>16</v>
      </c>
      <c r="J494" t="s">
        <v>24</v>
      </c>
      <c r="K494" s="4">
        <v>528</v>
      </c>
      <c r="L494" s="2">
        <v>35528</v>
      </c>
    </row>
    <row r="495" spans="1:12" x14ac:dyDescent="0.35">
      <c r="A495" t="s">
        <v>534</v>
      </c>
      <c r="B495" t="s">
        <v>19</v>
      </c>
      <c r="C495" t="s">
        <v>27</v>
      </c>
      <c r="D495" t="s">
        <v>31</v>
      </c>
      <c r="E495" s="5">
        <v>1153750.51</v>
      </c>
      <c r="F495" s="4">
        <v>0</v>
      </c>
      <c r="G495" s="4">
        <v>86</v>
      </c>
      <c r="H495" s="4">
        <v>36526</v>
      </c>
      <c r="I495" t="s">
        <v>28</v>
      </c>
      <c r="J495" t="s">
        <v>24</v>
      </c>
      <c r="K495" s="4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5">
        <v>588718.19999999995</v>
      </c>
      <c r="F496" s="4">
        <v>62773</v>
      </c>
      <c r="G496" s="4">
        <v>73</v>
      </c>
      <c r="H496" s="4">
        <v>0</v>
      </c>
      <c r="I496" t="s">
        <v>16</v>
      </c>
      <c r="J496" t="s">
        <v>17</v>
      </c>
      <c r="K496" s="4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5">
        <v>470058.38</v>
      </c>
      <c r="F497" s="4">
        <v>76694</v>
      </c>
      <c r="G497" s="4">
        <v>117</v>
      </c>
      <c r="H497" s="4">
        <v>0</v>
      </c>
      <c r="I497" t="s">
        <v>16</v>
      </c>
      <c r="J497" t="s">
        <v>29</v>
      </c>
      <c r="K497" s="4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 s="4">
        <v>55687</v>
      </c>
      <c r="G498" s="4">
        <v>276</v>
      </c>
      <c r="H498" s="4">
        <v>0</v>
      </c>
      <c r="I498" t="s">
        <v>16</v>
      </c>
      <c r="J498" t="s">
        <v>65</v>
      </c>
      <c r="K498" s="4">
        <v>1324.8</v>
      </c>
      <c r="L498" s="2">
        <v>36324.800000000003</v>
      </c>
    </row>
    <row r="499" spans="1:12" x14ac:dyDescent="0.35">
      <c r="A499" t="s">
        <v>538</v>
      </c>
      <c r="B499" t="s">
        <v>19</v>
      </c>
      <c r="C499" t="s">
        <v>20</v>
      </c>
      <c r="D499" t="s">
        <v>31</v>
      </c>
      <c r="E499" s="5">
        <v>252317.12</v>
      </c>
      <c r="F499" s="4">
        <v>0</v>
      </c>
      <c r="G499" s="4">
        <v>70</v>
      </c>
      <c r="H499" s="4">
        <v>0</v>
      </c>
      <c r="I499" t="s">
        <v>16</v>
      </c>
      <c r="J499" t="s">
        <v>17</v>
      </c>
      <c r="K499" s="4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 s="4">
        <v>36633</v>
      </c>
      <c r="G500" s="4">
        <v>96</v>
      </c>
      <c r="H500" s="4">
        <v>36526</v>
      </c>
      <c r="I500" t="s">
        <v>16</v>
      </c>
      <c r="J500" t="s">
        <v>17</v>
      </c>
      <c r="K500" s="4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 s="4">
        <v>77060</v>
      </c>
      <c r="G501" s="4">
        <v>106</v>
      </c>
      <c r="H501" s="4">
        <v>0</v>
      </c>
      <c r="I501" t="s">
        <v>16</v>
      </c>
      <c r="J501" t="s">
        <v>29</v>
      </c>
      <c r="K501" s="4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5">
        <v>376446.51</v>
      </c>
      <c r="F502" s="4">
        <v>92600</v>
      </c>
      <c r="G502" s="4">
        <v>94</v>
      </c>
      <c r="H502" s="4">
        <v>0</v>
      </c>
      <c r="I502" t="s">
        <v>28</v>
      </c>
      <c r="J502" t="s">
        <v>24</v>
      </c>
      <c r="K502" s="4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 s="4">
        <v>0</v>
      </c>
      <c r="G503" s="4">
        <v>66</v>
      </c>
      <c r="H503" s="4">
        <v>0</v>
      </c>
      <c r="I503" t="s">
        <v>16</v>
      </c>
      <c r="J503" t="s">
        <v>17</v>
      </c>
      <c r="K503" s="4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 s="4">
        <v>0</v>
      </c>
      <c r="G504" s="4">
        <v>111</v>
      </c>
      <c r="H504" s="4">
        <v>36557</v>
      </c>
      <c r="I504" t="s">
        <v>28</v>
      </c>
      <c r="J504" t="s">
        <v>29</v>
      </c>
      <c r="K504" s="4">
        <v>1171.9311700000001</v>
      </c>
      <c r="L504" s="2">
        <v>36171.931170000003</v>
      </c>
    </row>
    <row r="505" spans="1:12" x14ac:dyDescent="0.35">
      <c r="A505" t="s">
        <v>544</v>
      </c>
      <c r="B505" t="s">
        <v>19</v>
      </c>
      <c r="C505" t="s">
        <v>27</v>
      </c>
      <c r="D505" t="s">
        <v>35</v>
      </c>
      <c r="E505" s="5">
        <v>758211.38</v>
      </c>
      <c r="F505" s="4">
        <v>64801</v>
      </c>
      <c r="G505" s="4">
        <v>64</v>
      </c>
      <c r="H505" s="4">
        <v>0</v>
      </c>
      <c r="I505" t="s">
        <v>16</v>
      </c>
      <c r="J505" t="s">
        <v>17</v>
      </c>
      <c r="K505" s="4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5">
        <v>827774.56</v>
      </c>
      <c r="F506" s="4">
        <v>45257</v>
      </c>
      <c r="G506" s="4">
        <v>103</v>
      </c>
      <c r="H506" s="4">
        <v>0</v>
      </c>
      <c r="I506" t="s">
        <v>28</v>
      </c>
      <c r="J506" t="s">
        <v>24</v>
      </c>
      <c r="K506" s="4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 s="4">
        <v>26854</v>
      </c>
      <c r="G507" s="4">
        <v>66</v>
      </c>
      <c r="H507" s="4">
        <v>0</v>
      </c>
      <c r="I507" t="s">
        <v>16</v>
      </c>
      <c r="J507" t="s">
        <v>17</v>
      </c>
      <c r="K507" s="4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5">
        <v>820538.79</v>
      </c>
      <c r="F508" s="4">
        <v>85840</v>
      </c>
      <c r="G508" s="4">
        <v>102</v>
      </c>
      <c r="H508" s="4">
        <v>36557</v>
      </c>
      <c r="I508" t="s">
        <v>28</v>
      </c>
      <c r="J508" t="s">
        <v>29</v>
      </c>
      <c r="K508" s="4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5">
        <v>1958246.89</v>
      </c>
      <c r="F509" s="4">
        <v>26463</v>
      </c>
      <c r="G509" s="4">
        <v>72</v>
      </c>
      <c r="H509" s="4">
        <v>0</v>
      </c>
      <c r="I509" t="s">
        <v>28</v>
      </c>
      <c r="J509" t="s">
        <v>17</v>
      </c>
      <c r="K509" s="4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5">
        <v>648152.66</v>
      </c>
      <c r="F510" s="4">
        <v>30689</v>
      </c>
      <c r="G510" s="4">
        <v>81</v>
      </c>
      <c r="H510" s="4">
        <v>0</v>
      </c>
      <c r="I510" t="s">
        <v>16</v>
      </c>
      <c r="J510" t="s">
        <v>17</v>
      </c>
      <c r="K510" s="4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 s="4">
        <v>29590</v>
      </c>
      <c r="G511" s="4">
        <v>66</v>
      </c>
      <c r="H511" s="4">
        <v>0</v>
      </c>
      <c r="I511" t="s">
        <v>28</v>
      </c>
      <c r="J511" t="s">
        <v>24</v>
      </c>
      <c r="K511" s="4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5">
        <v>983033.76</v>
      </c>
      <c r="F512" s="4">
        <v>25965</v>
      </c>
      <c r="G512" s="4">
        <v>253</v>
      </c>
      <c r="H512" s="4">
        <v>0</v>
      </c>
      <c r="I512" t="s">
        <v>16</v>
      </c>
      <c r="J512" t="s">
        <v>65</v>
      </c>
      <c r="K512" s="4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5">
        <v>1044265.14</v>
      </c>
      <c r="F513" s="4">
        <v>17269</v>
      </c>
      <c r="G513" s="4">
        <v>139</v>
      </c>
      <c r="H513" s="4">
        <v>0</v>
      </c>
      <c r="I513" t="s">
        <v>16</v>
      </c>
      <c r="J513" t="s">
        <v>29</v>
      </c>
      <c r="K513" s="4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 s="4">
        <v>90330</v>
      </c>
      <c r="G514" s="4">
        <v>137</v>
      </c>
      <c r="H514" s="4">
        <v>36586</v>
      </c>
      <c r="I514" t="s">
        <v>28</v>
      </c>
      <c r="J514" t="s">
        <v>78</v>
      </c>
      <c r="K514" s="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5">
        <v>847003.68</v>
      </c>
      <c r="F515" s="4">
        <v>0</v>
      </c>
      <c r="G515" s="4">
        <v>113</v>
      </c>
      <c r="H515" s="4">
        <v>0</v>
      </c>
      <c r="I515" t="s">
        <v>28</v>
      </c>
      <c r="J515" t="s">
        <v>29</v>
      </c>
      <c r="K515" s="4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5">
        <v>827878.65</v>
      </c>
      <c r="F516" s="4">
        <v>0</v>
      </c>
      <c r="G516" s="4">
        <v>110</v>
      </c>
      <c r="H516" s="4">
        <v>0</v>
      </c>
      <c r="I516" t="s">
        <v>16</v>
      </c>
      <c r="J516" t="s">
        <v>17</v>
      </c>
      <c r="K516" s="4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5">
        <v>478893.26</v>
      </c>
      <c r="F517" s="4">
        <v>0</v>
      </c>
      <c r="G517" s="4">
        <v>67</v>
      </c>
      <c r="H517" s="4">
        <v>36526</v>
      </c>
      <c r="I517" t="s">
        <v>16</v>
      </c>
      <c r="J517" t="s">
        <v>24</v>
      </c>
      <c r="K517" s="4">
        <v>321.60000000000002</v>
      </c>
      <c r="L517" s="2">
        <v>35321.599999999999</v>
      </c>
    </row>
    <row r="518" spans="1:12" x14ac:dyDescent="0.35">
      <c r="A518" t="s">
        <v>557</v>
      </c>
      <c r="B518" t="s">
        <v>19</v>
      </c>
      <c r="C518" t="s">
        <v>20</v>
      </c>
      <c r="D518" t="s">
        <v>21</v>
      </c>
      <c r="E518" s="5">
        <v>308799.99</v>
      </c>
      <c r="F518" s="4">
        <v>18558</v>
      </c>
      <c r="G518" s="4">
        <v>80</v>
      </c>
      <c r="H518" s="4">
        <v>0</v>
      </c>
      <c r="I518" t="s">
        <v>39</v>
      </c>
      <c r="J518" t="s">
        <v>17</v>
      </c>
      <c r="K518" s="4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5">
        <v>444373.62</v>
      </c>
      <c r="F519" s="4">
        <v>46384</v>
      </c>
      <c r="G519" s="4">
        <v>113</v>
      </c>
      <c r="H519" s="4">
        <v>0</v>
      </c>
      <c r="I519" t="s">
        <v>28</v>
      </c>
      <c r="J519" t="s">
        <v>17</v>
      </c>
      <c r="K519" s="4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5">
        <v>798408.65</v>
      </c>
      <c r="F520" s="4">
        <v>0</v>
      </c>
      <c r="G520" s="4">
        <v>72</v>
      </c>
      <c r="H520" s="4">
        <v>0</v>
      </c>
      <c r="I520" t="s">
        <v>16</v>
      </c>
      <c r="J520" t="s">
        <v>24</v>
      </c>
      <c r="K520" s="4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5">
        <v>718097.1</v>
      </c>
      <c r="F521" s="4">
        <v>42303</v>
      </c>
      <c r="G521" s="4">
        <v>180</v>
      </c>
      <c r="H521" s="4">
        <v>0</v>
      </c>
      <c r="I521" t="s">
        <v>16</v>
      </c>
      <c r="J521" t="s">
        <v>65</v>
      </c>
      <c r="K521" s="4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5">
        <v>1565603.43</v>
      </c>
      <c r="F522" s="4">
        <v>71731</v>
      </c>
      <c r="G522" s="4">
        <v>130</v>
      </c>
      <c r="H522" s="4">
        <v>0</v>
      </c>
      <c r="I522" t="s">
        <v>28</v>
      </c>
      <c r="J522" t="s">
        <v>29</v>
      </c>
      <c r="K522" s="4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 s="4">
        <v>51066</v>
      </c>
      <c r="G523" s="4">
        <v>74</v>
      </c>
      <c r="H523" s="4">
        <v>0</v>
      </c>
      <c r="I523" t="s">
        <v>28</v>
      </c>
      <c r="J523" t="s">
        <v>17</v>
      </c>
      <c r="K523" s="4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 s="4">
        <v>0</v>
      </c>
      <c r="G524" s="4">
        <v>203</v>
      </c>
      <c r="H524" s="4">
        <v>0</v>
      </c>
      <c r="I524" t="s">
        <v>28</v>
      </c>
      <c r="J524" t="s">
        <v>117</v>
      </c>
      <c r="K524" s="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5">
        <v>533735.24</v>
      </c>
      <c r="F525" s="4">
        <v>0</v>
      </c>
      <c r="G525" s="4">
        <v>86</v>
      </c>
      <c r="H525" s="4">
        <v>36586</v>
      </c>
      <c r="I525" t="s">
        <v>16</v>
      </c>
      <c r="J525" t="s">
        <v>17</v>
      </c>
      <c r="K525" s="4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5">
        <v>505082.62</v>
      </c>
      <c r="F526" s="4">
        <v>0</v>
      </c>
      <c r="G526" s="4">
        <v>69</v>
      </c>
      <c r="H526" s="4">
        <v>0</v>
      </c>
      <c r="I526" t="s">
        <v>16</v>
      </c>
      <c r="J526" t="s">
        <v>24</v>
      </c>
      <c r="K526" s="4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5">
        <v>511662.4</v>
      </c>
      <c r="F527" s="4">
        <v>26173</v>
      </c>
      <c r="G527" s="4">
        <v>68</v>
      </c>
      <c r="H527" s="4">
        <v>36526</v>
      </c>
      <c r="I527" t="s">
        <v>28</v>
      </c>
      <c r="J527" t="s">
        <v>17</v>
      </c>
      <c r="K527" s="4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5">
        <v>726873.7</v>
      </c>
      <c r="F528" s="4">
        <v>24445</v>
      </c>
      <c r="G528" s="4">
        <v>63</v>
      </c>
      <c r="H528" s="4">
        <v>0</v>
      </c>
      <c r="I528" t="s">
        <v>16</v>
      </c>
      <c r="J528" t="s">
        <v>24</v>
      </c>
      <c r="K528" s="4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</v>
      </c>
      <c r="D529" t="s">
        <v>35</v>
      </c>
      <c r="E529" s="5">
        <v>261661.39</v>
      </c>
      <c r="F529" s="4">
        <v>72302</v>
      </c>
      <c r="G529" s="4">
        <v>66</v>
      </c>
      <c r="H529" s="4">
        <v>0</v>
      </c>
      <c r="I529" t="s">
        <v>16</v>
      </c>
      <c r="J529" t="s">
        <v>24</v>
      </c>
      <c r="K529" s="4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</v>
      </c>
      <c r="D530" t="s">
        <v>31</v>
      </c>
      <c r="E530" s="5">
        <v>373843.62</v>
      </c>
      <c r="F530" s="4">
        <v>27208</v>
      </c>
      <c r="G530" s="4">
        <v>102</v>
      </c>
      <c r="H530" s="4">
        <v>0</v>
      </c>
      <c r="I530" t="s">
        <v>16</v>
      </c>
      <c r="J530" t="s">
        <v>29</v>
      </c>
      <c r="K530" s="4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5">
        <v>272535.64</v>
      </c>
      <c r="F531" s="4">
        <v>36650</v>
      </c>
      <c r="G531" s="4">
        <v>69</v>
      </c>
      <c r="H531" s="4">
        <v>36526</v>
      </c>
      <c r="I531" t="s">
        <v>39</v>
      </c>
      <c r="J531" t="s">
        <v>17</v>
      </c>
      <c r="K531" s="4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</v>
      </c>
      <c r="D532" t="s">
        <v>35</v>
      </c>
      <c r="E532" s="5">
        <v>545386.12</v>
      </c>
      <c r="F532" s="4">
        <v>30855</v>
      </c>
      <c r="G532" s="4">
        <v>68</v>
      </c>
      <c r="H532" s="4">
        <v>0</v>
      </c>
      <c r="I532" t="s">
        <v>28</v>
      </c>
      <c r="J532" t="s">
        <v>17</v>
      </c>
      <c r="K532" s="4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5">
        <v>684615.03</v>
      </c>
      <c r="F533" s="4">
        <v>0</v>
      </c>
      <c r="G533" s="4">
        <v>95</v>
      </c>
      <c r="H533" s="4">
        <v>0</v>
      </c>
      <c r="I533" t="s">
        <v>16</v>
      </c>
      <c r="J533" t="s">
        <v>24</v>
      </c>
      <c r="K533" s="4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</v>
      </c>
      <c r="D534" t="s">
        <v>15</v>
      </c>
      <c r="E534" s="5">
        <v>617291.42000000004</v>
      </c>
      <c r="F534" s="4">
        <v>99960</v>
      </c>
      <c r="G534" s="4">
        <v>76</v>
      </c>
      <c r="H534" s="4">
        <v>0</v>
      </c>
      <c r="I534" t="s">
        <v>28</v>
      </c>
      <c r="J534" t="s">
        <v>17</v>
      </c>
      <c r="K534" s="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5">
        <v>1034632.45</v>
      </c>
      <c r="F535" s="4">
        <v>0</v>
      </c>
      <c r="G535" s="4">
        <v>98</v>
      </c>
      <c r="H535" s="4">
        <v>0</v>
      </c>
      <c r="I535" t="s">
        <v>16</v>
      </c>
      <c r="J535" t="s">
        <v>17</v>
      </c>
      <c r="K535" s="4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5">
        <v>699700.86</v>
      </c>
      <c r="F536" s="4">
        <v>55873</v>
      </c>
      <c r="G536" s="4">
        <v>88</v>
      </c>
      <c r="H536" s="4">
        <v>0</v>
      </c>
      <c r="I536" t="s">
        <v>16</v>
      </c>
      <c r="J536" t="s">
        <v>17</v>
      </c>
      <c r="K536" s="4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5">
        <v>419625.77</v>
      </c>
      <c r="F537" s="4">
        <v>18052</v>
      </c>
      <c r="G537" s="4">
        <v>111</v>
      </c>
      <c r="H537" s="4">
        <v>0</v>
      </c>
      <c r="I537" t="s">
        <v>16</v>
      </c>
      <c r="J537" t="s">
        <v>17</v>
      </c>
      <c r="K537" s="4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5">
        <v>785810.98</v>
      </c>
      <c r="F538" s="4">
        <v>28937</v>
      </c>
      <c r="G538" s="4">
        <v>104</v>
      </c>
      <c r="H538" s="4">
        <v>36557</v>
      </c>
      <c r="I538" t="s">
        <v>16</v>
      </c>
      <c r="J538" t="s">
        <v>29</v>
      </c>
      <c r="K538" s="4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5">
        <v>606434.4</v>
      </c>
      <c r="F539" s="4">
        <v>0</v>
      </c>
      <c r="G539" s="4">
        <v>86</v>
      </c>
      <c r="H539" s="4">
        <v>0</v>
      </c>
      <c r="I539" t="s">
        <v>16</v>
      </c>
      <c r="J539" t="s">
        <v>17</v>
      </c>
      <c r="K539" s="4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</v>
      </c>
      <c r="D540" t="s">
        <v>35</v>
      </c>
      <c r="E540" s="5">
        <v>1749752.2</v>
      </c>
      <c r="F540" s="4">
        <v>0</v>
      </c>
      <c r="G540" s="4">
        <v>73</v>
      </c>
      <c r="H540" s="4">
        <v>0</v>
      </c>
      <c r="I540" t="s">
        <v>16</v>
      </c>
      <c r="J540" t="s">
        <v>24</v>
      </c>
      <c r="K540" s="4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</v>
      </c>
      <c r="D541" t="s">
        <v>80</v>
      </c>
      <c r="E541" s="5">
        <v>897064.73</v>
      </c>
      <c r="F541" s="4">
        <v>12829</v>
      </c>
      <c r="G541" s="4">
        <v>118</v>
      </c>
      <c r="H541" s="4">
        <v>0</v>
      </c>
      <c r="I541" t="s">
        <v>16</v>
      </c>
      <c r="J541" t="s">
        <v>29</v>
      </c>
      <c r="K541" s="4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5">
        <v>592311.72</v>
      </c>
      <c r="F542" s="4">
        <v>92163</v>
      </c>
      <c r="G542" s="4">
        <v>73</v>
      </c>
      <c r="H542" s="4">
        <v>0</v>
      </c>
      <c r="I542" t="s">
        <v>16</v>
      </c>
      <c r="J542" t="s">
        <v>24</v>
      </c>
      <c r="K542" s="4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</v>
      </c>
      <c r="D543" t="s">
        <v>31</v>
      </c>
      <c r="E543" s="5">
        <v>3585059.94</v>
      </c>
      <c r="F543" s="4">
        <v>17588</v>
      </c>
      <c r="G543" s="4">
        <v>192</v>
      </c>
      <c r="H543" s="4">
        <v>0</v>
      </c>
      <c r="I543" t="s">
        <v>16</v>
      </c>
      <c r="J543" t="s">
        <v>117</v>
      </c>
      <c r="K543" s="4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5">
        <v>870984.53</v>
      </c>
      <c r="F544" s="4">
        <v>41546</v>
      </c>
      <c r="G544" s="4">
        <v>111</v>
      </c>
      <c r="H544" s="4">
        <v>0</v>
      </c>
      <c r="I544" t="s">
        <v>28</v>
      </c>
      <c r="J544" t="s">
        <v>17</v>
      </c>
      <c r="K544" s="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</v>
      </c>
      <c r="D545" t="s">
        <v>35</v>
      </c>
      <c r="E545" s="5">
        <v>1330933.52</v>
      </c>
      <c r="F545" s="4">
        <v>0</v>
      </c>
      <c r="G545" s="4">
        <v>127</v>
      </c>
      <c r="H545" s="4">
        <v>0</v>
      </c>
      <c r="I545" t="s">
        <v>16</v>
      </c>
      <c r="J545" t="s">
        <v>29</v>
      </c>
      <c r="K545" s="4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 s="4">
        <v>70340</v>
      </c>
      <c r="G546" s="4">
        <v>113</v>
      </c>
      <c r="H546" s="4">
        <v>0</v>
      </c>
      <c r="I546" t="s">
        <v>39</v>
      </c>
      <c r="J546" t="s">
        <v>17</v>
      </c>
      <c r="K546" s="4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5">
        <v>279190.65000000002</v>
      </c>
      <c r="F547" s="4">
        <v>0</v>
      </c>
      <c r="G547" s="4">
        <v>74</v>
      </c>
      <c r="H547" s="4">
        <v>0</v>
      </c>
      <c r="I547" t="s">
        <v>16</v>
      </c>
      <c r="J547" t="s">
        <v>17</v>
      </c>
      <c r="K547" s="4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5">
        <v>443441.12</v>
      </c>
      <c r="F548" s="4">
        <v>34549</v>
      </c>
      <c r="G548" s="4">
        <v>111</v>
      </c>
      <c r="H548" s="4">
        <v>0</v>
      </c>
      <c r="I548" t="s">
        <v>16</v>
      </c>
      <c r="J548" t="s">
        <v>17</v>
      </c>
      <c r="K548" s="4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5">
        <v>799600.75</v>
      </c>
      <c r="F549" s="4">
        <v>93459</v>
      </c>
      <c r="G549" s="4">
        <v>99</v>
      </c>
      <c r="H549" s="4">
        <v>0</v>
      </c>
      <c r="I549" t="s">
        <v>16</v>
      </c>
      <c r="J549" t="s">
        <v>17</v>
      </c>
      <c r="K549" s="4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5">
        <v>512973.9</v>
      </c>
      <c r="F550" s="4">
        <v>86148</v>
      </c>
      <c r="G550" s="4">
        <v>65</v>
      </c>
      <c r="H550" s="4">
        <v>36557</v>
      </c>
      <c r="I550" t="s">
        <v>16</v>
      </c>
      <c r="J550" t="s">
        <v>17</v>
      </c>
      <c r="K550" s="4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5">
        <v>569717.52</v>
      </c>
      <c r="F551" s="4">
        <v>27048</v>
      </c>
      <c r="G551" s="4">
        <v>72</v>
      </c>
      <c r="H551" s="4">
        <v>0</v>
      </c>
      <c r="I551" t="s">
        <v>28</v>
      </c>
      <c r="J551" t="s">
        <v>17</v>
      </c>
      <c r="K551" s="4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5">
        <v>921713.06</v>
      </c>
      <c r="F552" s="4">
        <v>73259</v>
      </c>
      <c r="G552" s="4">
        <v>115</v>
      </c>
      <c r="H552" s="4">
        <v>0</v>
      </c>
      <c r="I552" t="s">
        <v>16</v>
      </c>
      <c r="J552" t="s">
        <v>29</v>
      </c>
      <c r="K552" s="4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5">
        <v>1020892.76</v>
      </c>
      <c r="F553" s="4">
        <v>35482</v>
      </c>
      <c r="G553" s="4">
        <v>129</v>
      </c>
      <c r="H553" s="4">
        <v>0</v>
      </c>
      <c r="I553" t="s">
        <v>28</v>
      </c>
      <c r="J553" t="s">
        <v>29</v>
      </c>
      <c r="K553" s="4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5">
        <v>417068.73</v>
      </c>
      <c r="F554" s="4">
        <v>29462</v>
      </c>
      <c r="G554" s="4">
        <v>107</v>
      </c>
      <c r="H554" s="4">
        <v>36526</v>
      </c>
      <c r="I554" t="s">
        <v>16</v>
      </c>
      <c r="J554" t="s">
        <v>29</v>
      </c>
      <c r="K554" s="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5">
        <v>450540.58</v>
      </c>
      <c r="F555" s="4">
        <v>67801</v>
      </c>
      <c r="G555" s="4">
        <v>115</v>
      </c>
      <c r="H555" s="4">
        <v>36526</v>
      </c>
      <c r="I555" t="s">
        <v>16</v>
      </c>
      <c r="J555" t="s">
        <v>29</v>
      </c>
      <c r="K555" s="4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 s="4">
        <v>0</v>
      </c>
      <c r="G556" s="4">
        <v>94</v>
      </c>
      <c r="H556" s="4">
        <v>36617</v>
      </c>
      <c r="I556" t="s">
        <v>16</v>
      </c>
      <c r="J556" t="s">
        <v>24</v>
      </c>
      <c r="K556" s="4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5">
        <v>552866.5</v>
      </c>
      <c r="F557" s="4">
        <v>16042</v>
      </c>
      <c r="G557" s="4">
        <v>73</v>
      </c>
      <c r="H557" s="4">
        <v>0</v>
      </c>
      <c r="I557" t="s">
        <v>16</v>
      </c>
      <c r="J557" t="s">
        <v>24</v>
      </c>
      <c r="K557" s="4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 s="4">
        <v>28056</v>
      </c>
      <c r="G558" s="4">
        <v>64</v>
      </c>
      <c r="H558" s="4">
        <v>36526</v>
      </c>
      <c r="I558" t="s">
        <v>16</v>
      </c>
      <c r="J558" t="s">
        <v>17</v>
      </c>
      <c r="K558" s="4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 s="4">
        <v>16495</v>
      </c>
      <c r="G559" s="4">
        <v>85</v>
      </c>
      <c r="H559" s="4">
        <v>36586</v>
      </c>
      <c r="I559" t="s">
        <v>28</v>
      </c>
      <c r="J559" t="s">
        <v>17</v>
      </c>
      <c r="K559" s="4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5">
        <v>866595.64</v>
      </c>
      <c r="F560" s="4">
        <v>41163</v>
      </c>
      <c r="G560" s="4">
        <v>108</v>
      </c>
      <c r="H560" s="4">
        <v>0</v>
      </c>
      <c r="I560" t="s">
        <v>28</v>
      </c>
      <c r="J560" t="s">
        <v>29</v>
      </c>
      <c r="K560" s="4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5">
        <v>1141344.1200000001</v>
      </c>
      <c r="F561" s="4">
        <v>0</v>
      </c>
      <c r="G561" s="4">
        <v>161</v>
      </c>
      <c r="H561" s="4">
        <v>36526</v>
      </c>
      <c r="I561" t="s">
        <v>16</v>
      </c>
      <c r="J561" t="s">
        <v>78</v>
      </c>
      <c r="K561" s="4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5">
        <v>1548843.2</v>
      </c>
      <c r="F562" s="4">
        <v>33799</v>
      </c>
      <c r="G562" s="4">
        <v>109</v>
      </c>
      <c r="H562" s="4">
        <v>36586</v>
      </c>
      <c r="I562" t="s">
        <v>28</v>
      </c>
      <c r="J562" t="s">
        <v>29</v>
      </c>
      <c r="K562" s="4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5">
        <v>886114.95</v>
      </c>
      <c r="F563" s="4">
        <v>90125</v>
      </c>
      <c r="G563" s="4">
        <v>110</v>
      </c>
      <c r="H563" s="4">
        <v>0</v>
      </c>
      <c r="I563" t="s">
        <v>28</v>
      </c>
      <c r="J563" t="s">
        <v>29</v>
      </c>
      <c r="K563" s="4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5">
        <v>593474.15</v>
      </c>
      <c r="F564" s="4">
        <v>87747</v>
      </c>
      <c r="G564" s="4">
        <v>147</v>
      </c>
      <c r="H564" s="4">
        <v>36526</v>
      </c>
      <c r="I564" t="s">
        <v>16</v>
      </c>
      <c r="J564" t="s">
        <v>29</v>
      </c>
      <c r="K564" s="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 s="4">
        <v>35695</v>
      </c>
      <c r="G565" s="4">
        <v>90</v>
      </c>
      <c r="H565" s="4">
        <v>0</v>
      </c>
      <c r="I565" t="s">
        <v>16</v>
      </c>
      <c r="J565" t="s">
        <v>17</v>
      </c>
      <c r="K565" s="4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5">
        <v>349002.83</v>
      </c>
      <c r="F566" s="4">
        <v>90985</v>
      </c>
      <c r="G566" s="4">
        <v>87</v>
      </c>
      <c r="H566" s="4">
        <v>0</v>
      </c>
      <c r="I566" t="s">
        <v>16</v>
      </c>
      <c r="J566" t="s">
        <v>17</v>
      </c>
      <c r="K566" s="4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5">
        <v>368309.99</v>
      </c>
      <c r="F567" s="4">
        <v>0</v>
      </c>
      <c r="G567" s="4">
        <v>101</v>
      </c>
      <c r="H567" s="4">
        <v>0</v>
      </c>
      <c r="I567" t="s">
        <v>28</v>
      </c>
      <c r="J567" t="s">
        <v>78</v>
      </c>
      <c r="K567" s="4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 s="4">
        <v>66839</v>
      </c>
      <c r="G568" s="4">
        <v>154</v>
      </c>
      <c r="H568" s="4">
        <v>0</v>
      </c>
      <c r="I568" t="s">
        <v>16</v>
      </c>
      <c r="J568" t="s">
        <v>78</v>
      </c>
      <c r="K568" s="4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5">
        <v>1250084.3</v>
      </c>
      <c r="F569" s="4">
        <v>0</v>
      </c>
      <c r="G569" s="4">
        <v>165</v>
      </c>
      <c r="H569" s="4">
        <v>0</v>
      </c>
      <c r="I569" t="s">
        <v>16</v>
      </c>
      <c r="J569" t="s">
        <v>29</v>
      </c>
      <c r="K569" s="4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5">
        <v>860915.82</v>
      </c>
      <c r="F570" s="4">
        <v>79090</v>
      </c>
      <c r="G570" s="4">
        <v>107</v>
      </c>
      <c r="H570" s="4">
        <v>0</v>
      </c>
      <c r="I570" t="s">
        <v>28</v>
      </c>
      <c r="J570" t="s">
        <v>29</v>
      </c>
      <c r="K570" s="4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5">
        <v>249745.51</v>
      </c>
      <c r="F571" s="4">
        <v>24825</v>
      </c>
      <c r="G571" s="4">
        <v>64</v>
      </c>
      <c r="H571" s="4">
        <v>0</v>
      </c>
      <c r="I571" t="s">
        <v>16</v>
      </c>
      <c r="J571" t="s">
        <v>24</v>
      </c>
      <c r="K571" s="4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 s="4">
        <v>26806</v>
      </c>
      <c r="G572" s="4">
        <v>63</v>
      </c>
      <c r="H572" s="4">
        <v>0</v>
      </c>
      <c r="I572" t="s">
        <v>16</v>
      </c>
      <c r="J572" t="s">
        <v>17</v>
      </c>
      <c r="K572" s="4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5">
        <v>538792.63</v>
      </c>
      <c r="F573" s="4">
        <v>56835</v>
      </c>
      <c r="G573" s="4">
        <v>67</v>
      </c>
      <c r="H573" s="4">
        <v>0</v>
      </c>
      <c r="I573" t="s">
        <v>16</v>
      </c>
      <c r="J573" t="s">
        <v>24</v>
      </c>
      <c r="K573" s="4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5">
        <v>616555.75</v>
      </c>
      <c r="F574" s="4">
        <v>0</v>
      </c>
      <c r="G574" s="4">
        <v>88</v>
      </c>
      <c r="H574" s="4">
        <v>0</v>
      </c>
      <c r="I574" t="s">
        <v>39</v>
      </c>
      <c r="J574" t="s">
        <v>24</v>
      </c>
      <c r="K574" s="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5">
        <v>273020.28999999998</v>
      </c>
      <c r="F575" s="4">
        <v>46135</v>
      </c>
      <c r="G575" s="4">
        <v>69</v>
      </c>
      <c r="H575" s="4">
        <v>0</v>
      </c>
      <c r="I575" t="s">
        <v>16</v>
      </c>
      <c r="J575" t="s">
        <v>17</v>
      </c>
      <c r="K575" s="4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5">
        <v>516211.69</v>
      </c>
      <c r="F576" s="4">
        <v>0</v>
      </c>
      <c r="G576" s="4">
        <v>73</v>
      </c>
      <c r="H576" s="4">
        <v>0</v>
      </c>
      <c r="I576" t="s">
        <v>16</v>
      </c>
      <c r="J576" t="s">
        <v>17</v>
      </c>
      <c r="K576" s="4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5">
        <v>793706.48</v>
      </c>
      <c r="F577" s="4">
        <v>22862</v>
      </c>
      <c r="G577" s="4">
        <v>67</v>
      </c>
      <c r="H577" s="4">
        <v>0</v>
      </c>
      <c r="I577" t="s">
        <v>16</v>
      </c>
      <c r="J577" t="s">
        <v>24</v>
      </c>
      <c r="K577" s="4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5">
        <v>860815.72</v>
      </c>
      <c r="F578" s="4">
        <v>21450</v>
      </c>
      <c r="G578" s="4">
        <v>110</v>
      </c>
      <c r="H578" s="4">
        <v>36557</v>
      </c>
      <c r="I578" t="s">
        <v>16</v>
      </c>
      <c r="J578" t="s">
        <v>78</v>
      </c>
      <c r="K578" s="4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5">
        <v>263254.58</v>
      </c>
      <c r="F579" s="4">
        <v>95854</v>
      </c>
      <c r="G579" s="4">
        <v>65</v>
      </c>
      <c r="H579" s="4">
        <v>0</v>
      </c>
      <c r="I579" t="s">
        <v>16</v>
      </c>
      <c r="J579" t="s">
        <v>24</v>
      </c>
      <c r="K579" s="4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5">
        <v>778500.42</v>
      </c>
      <c r="F580" s="4">
        <v>44897</v>
      </c>
      <c r="G580" s="4">
        <v>99</v>
      </c>
      <c r="H580" s="4">
        <v>36526</v>
      </c>
      <c r="I580" t="s">
        <v>16</v>
      </c>
      <c r="J580" t="s">
        <v>17</v>
      </c>
      <c r="K580" s="4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5">
        <v>2163983.86</v>
      </c>
      <c r="F581" s="4">
        <v>64455</v>
      </c>
      <c r="G581" s="4">
        <v>108</v>
      </c>
      <c r="H581" s="4">
        <v>0</v>
      </c>
      <c r="I581" t="s">
        <v>16</v>
      </c>
      <c r="J581" t="s">
        <v>29</v>
      </c>
      <c r="K581" s="4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5">
        <v>498082.5</v>
      </c>
      <c r="F582" s="4">
        <v>53265</v>
      </c>
      <c r="G582" s="4">
        <v>62</v>
      </c>
      <c r="H582" s="4">
        <v>0</v>
      </c>
      <c r="I582" t="s">
        <v>16</v>
      </c>
      <c r="J582" t="s">
        <v>17</v>
      </c>
      <c r="K582" s="4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5">
        <v>745723.78</v>
      </c>
      <c r="F583" s="4">
        <v>0</v>
      </c>
      <c r="G583" s="4">
        <v>198</v>
      </c>
      <c r="H583" s="4">
        <v>36526</v>
      </c>
      <c r="I583" t="s">
        <v>16</v>
      </c>
      <c r="J583" t="s">
        <v>117</v>
      </c>
      <c r="K583" s="4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5">
        <v>1064093.93</v>
      </c>
      <c r="F584" s="4">
        <v>50450</v>
      </c>
      <c r="G584" s="4">
        <v>90</v>
      </c>
      <c r="H584" s="4">
        <v>0</v>
      </c>
      <c r="I584" t="s">
        <v>16</v>
      </c>
      <c r="J584" t="s">
        <v>24</v>
      </c>
      <c r="K584" s="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5">
        <v>686250.83</v>
      </c>
      <c r="F585" s="4">
        <v>54780</v>
      </c>
      <c r="G585" s="4">
        <v>88</v>
      </c>
      <c r="H585" s="4">
        <v>36586</v>
      </c>
      <c r="I585" t="s">
        <v>16</v>
      </c>
      <c r="J585" t="s">
        <v>17</v>
      </c>
      <c r="K585" s="4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 s="4">
        <v>0</v>
      </c>
      <c r="G586" s="4">
        <v>119</v>
      </c>
      <c r="H586" s="4">
        <v>0</v>
      </c>
      <c r="I586" t="s">
        <v>16</v>
      </c>
      <c r="J586" t="s">
        <v>78</v>
      </c>
      <c r="K586" s="4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5">
        <v>554803.18999999994</v>
      </c>
      <c r="F587" s="4">
        <v>67798</v>
      </c>
      <c r="G587" s="4">
        <v>69</v>
      </c>
      <c r="H587" s="4">
        <v>0</v>
      </c>
      <c r="I587" t="s">
        <v>16</v>
      </c>
      <c r="J587" t="s">
        <v>17</v>
      </c>
      <c r="K587" s="4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5">
        <v>831268.16</v>
      </c>
      <c r="F588" s="4">
        <v>21442</v>
      </c>
      <c r="G588" s="4">
        <v>118</v>
      </c>
      <c r="H588" s="4">
        <v>0</v>
      </c>
      <c r="I588" t="s">
        <v>16</v>
      </c>
      <c r="J588" t="s">
        <v>29</v>
      </c>
      <c r="K588" s="4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5">
        <v>238998.1</v>
      </c>
      <c r="F589" s="4">
        <v>27615</v>
      </c>
      <c r="G589" s="4">
        <v>62</v>
      </c>
      <c r="H589" s="4">
        <v>36526</v>
      </c>
      <c r="I589" t="s">
        <v>16</v>
      </c>
      <c r="J589" t="s">
        <v>17</v>
      </c>
      <c r="K589" s="4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5">
        <v>445811.34</v>
      </c>
      <c r="F590" s="4">
        <v>17622</v>
      </c>
      <c r="G590" s="4">
        <v>65</v>
      </c>
      <c r="H590" s="4">
        <v>36526</v>
      </c>
      <c r="I590" t="s">
        <v>16</v>
      </c>
      <c r="J590" t="s">
        <v>17</v>
      </c>
      <c r="K590" s="4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 s="4">
        <v>50200</v>
      </c>
      <c r="G591" s="4">
        <v>135</v>
      </c>
      <c r="H591" s="4">
        <v>0</v>
      </c>
      <c r="I591" t="s">
        <v>16</v>
      </c>
      <c r="J591" t="s">
        <v>78</v>
      </c>
      <c r="K591" s="4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5">
        <v>383960.61</v>
      </c>
      <c r="F592" s="4">
        <v>0</v>
      </c>
      <c r="G592" s="4">
        <v>112</v>
      </c>
      <c r="H592" s="4">
        <v>36557</v>
      </c>
      <c r="I592" t="s">
        <v>16</v>
      </c>
      <c r="J592" t="s">
        <v>29</v>
      </c>
      <c r="K592" s="4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5">
        <v>373150.46</v>
      </c>
      <c r="F593" s="4">
        <v>0</v>
      </c>
      <c r="G593" s="4">
        <v>96</v>
      </c>
      <c r="H593" s="4">
        <v>0</v>
      </c>
      <c r="I593" t="s">
        <v>16</v>
      </c>
      <c r="J593" t="s">
        <v>17</v>
      </c>
      <c r="K593" s="4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5">
        <v>277890.37</v>
      </c>
      <c r="F594" s="4">
        <v>73570</v>
      </c>
      <c r="G594" s="4">
        <v>70</v>
      </c>
      <c r="H594" s="4">
        <v>36526</v>
      </c>
      <c r="I594" t="s">
        <v>39</v>
      </c>
      <c r="J594" t="s">
        <v>24</v>
      </c>
      <c r="K594" s="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5">
        <v>401654.2</v>
      </c>
      <c r="F595" s="4">
        <v>0</v>
      </c>
      <c r="G595" s="4">
        <v>111</v>
      </c>
      <c r="H595" s="4">
        <v>0</v>
      </c>
      <c r="I595" t="s">
        <v>16</v>
      </c>
      <c r="J595" t="s">
        <v>29</v>
      </c>
      <c r="K595" s="4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5">
        <v>493094.93</v>
      </c>
      <c r="F596" s="4">
        <v>70412</v>
      </c>
      <c r="G596" s="4">
        <v>61</v>
      </c>
      <c r="H596" s="4">
        <v>0</v>
      </c>
      <c r="I596" t="s">
        <v>28</v>
      </c>
      <c r="J596" t="s">
        <v>24</v>
      </c>
      <c r="K596" s="4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 s="4">
        <v>36631</v>
      </c>
      <c r="G597" s="4">
        <v>62</v>
      </c>
      <c r="H597" s="4">
        <v>0</v>
      </c>
      <c r="I597" t="s">
        <v>16</v>
      </c>
      <c r="J597" t="s">
        <v>17</v>
      </c>
      <c r="K597" s="4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5">
        <v>290887.59000000003</v>
      </c>
      <c r="F598" s="4">
        <v>35895</v>
      </c>
      <c r="G598" s="4">
        <v>73</v>
      </c>
      <c r="H598" s="4">
        <v>0</v>
      </c>
      <c r="I598" t="s">
        <v>16</v>
      </c>
      <c r="J598" t="s">
        <v>17</v>
      </c>
      <c r="K598" s="4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5">
        <v>428294.8</v>
      </c>
      <c r="F599" s="4">
        <v>40864</v>
      </c>
      <c r="G599" s="4">
        <v>109</v>
      </c>
      <c r="H599" s="4">
        <v>36526</v>
      </c>
      <c r="I599" t="s">
        <v>16</v>
      </c>
      <c r="J599" t="s">
        <v>29</v>
      </c>
      <c r="K599" s="4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 s="4">
        <v>0</v>
      </c>
      <c r="G600" s="4">
        <v>118</v>
      </c>
      <c r="H600" s="4">
        <v>0</v>
      </c>
      <c r="I600" t="s">
        <v>16</v>
      </c>
      <c r="J600" t="s">
        <v>17</v>
      </c>
      <c r="K600" s="4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5">
        <v>509078.13</v>
      </c>
      <c r="F601" s="4">
        <v>93018</v>
      </c>
      <c r="G601" s="4">
        <v>63</v>
      </c>
      <c r="H601" s="4">
        <v>0</v>
      </c>
      <c r="I601" t="s">
        <v>16</v>
      </c>
      <c r="J601" t="s">
        <v>17</v>
      </c>
      <c r="K601" s="4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5">
        <v>736618.83</v>
      </c>
      <c r="F602" s="4">
        <v>70014</v>
      </c>
      <c r="G602" s="4">
        <v>62</v>
      </c>
      <c r="H602" s="4">
        <v>0</v>
      </c>
      <c r="I602" t="s">
        <v>28</v>
      </c>
      <c r="J602" t="s">
        <v>17</v>
      </c>
      <c r="K602" s="4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5">
        <v>243687.51</v>
      </c>
      <c r="F603" s="4">
        <v>48875</v>
      </c>
      <c r="G603" s="4">
        <v>61</v>
      </c>
      <c r="H603" s="4">
        <v>0</v>
      </c>
      <c r="I603" t="s">
        <v>16</v>
      </c>
      <c r="J603" t="s">
        <v>24</v>
      </c>
      <c r="K603" s="4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5">
        <v>885268.87</v>
      </c>
      <c r="F604" s="4">
        <v>67969</v>
      </c>
      <c r="G604" s="4">
        <v>74</v>
      </c>
      <c r="H604" s="4">
        <v>0</v>
      </c>
      <c r="I604" t="s">
        <v>16</v>
      </c>
      <c r="J604" t="s">
        <v>17</v>
      </c>
      <c r="K604" s="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5">
        <v>2387547.6800000002</v>
      </c>
      <c r="F605" s="4">
        <v>0</v>
      </c>
      <c r="G605" s="4">
        <v>108</v>
      </c>
      <c r="H605" s="4">
        <v>0</v>
      </c>
      <c r="I605" t="s">
        <v>28</v>
      </c>
      <c r="J605" t="s">
        <v>29</v>
      </c>
      <c r="K605" s="4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5">
        <v>560049.65</v>
      </c>
      <c r="F606" s="4">
        <v>68665</v>
      </c>
      <c r="G606" s="4">
        <v>69</v>
      </c>
      <c r="H606" s="4">
        <v>0</v>
      </c>
      <c r="I606" t="s">
        <v>16</v>
      </c>
      <c r="J606" t="s">
        <v>24</v>
      </c>
      <c r="K606" s="4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 s="4">
        <v>26802</v>
      </c>
      <c r="G607" s="4">
        <v>66</v>
      </c>
      <c r="H607" s="4">
        <v>36526</v>
      </c>
      <c r="I607" t="s">
        <v>28</v>
      </c>
      <c r="J607" t="s">
        <v>24</v>
      </c>
      <c r="K607" s="4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 s="4">
        <v>0</v>
      </c>
      <c r="G608" s="4">
        <v>110</v>
      </c>
      <c r="H608" s="4">
        <v>0</v>
      </c>
      <c r="I608" t="s">
        <v>28</v>
      </c>
      <c r="J608" t="s">
        <v>17</v>
      </c>
      <c r="K608" s="4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 s="4">
        <v>45345</v>
      </c>
      <c r="G609" s="4">
        <v>125</v>
      </c>
      <c r="H609" s="4">
        <v>0</v>
      </c>
      <c r="I609" t="s">
        <v>16</v>
      </c>
      <c r="J609" t="s">
        <v>29</v>
      </c>
      <c r="K609" s="4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21</v>
      </c>
      <c r="E610" s="5">
        <v>897214.03</v>
      </c>
      <c r="F610" s="4">
        <v>89689</v>
      </c>
      <c r="G610" s="4">
        <v>74</v>
      </c>
      <c r="H610" s="4">
        <v>0</v>
      </c>
      <c r="I610" t="s">
        <v>16</v>
      </c>
      <c r="J610" t="s">
        <v>17</v>
      </c>
      <c r="K610" s="4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5">
        <v>772484.01</v>
      </c>
      <c r="F611" s="4">
        <v>32051</v>
      </c>
      <c r="G611" s="4">
        <v>193</v>
      </c>
      <c r="H611" s="4">
        <v>36526</v>
      </c>
      <c r="I611" t="s">
        <v>16</v>
      </c>
      <c r="J611" t="s">
        <v>29</v>
      </c>
      <c r="K611" s="4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5">
        <v>594667.06999999995</v>
      </c>
      <c r="F612" s="4">
        <v>81139</v>
      </c>
      <c r="G612" s="4">
        <v>74</v>
      </c>
      <c r="H612" s="4">
        <v>0</v>
      </c>
      <c r="I612" t="s">
        <v>39</v>
      </c>
      <c r="J612" t="s">
        <v>17</v>
      </c>
      <c r="K612" s="4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5">
        <v>800054.51</v>
      </c>
      <c r="F613" s="4">
        <v>63834</v>
      </c>
      <c r="G613" s="4">
        <v>100</v>
      </c>
      <c r="H613" s="4">
        <v>36526</v>
      </c>
      <c r="I613" t="s">
        <v>16</v>
      </c>
      <c r="J613" t="s">
        <v>78</v>
      </c>
      <c r="K613" s="4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5">
        <v>645756.1</v>
      </c>
      <c r="F614" s="4">
        <v>37548</v>
      </c>
      <c r="G614" s="4">
        <v>81</v>
      </c>
      <c r="H614" s="4">
        <v>0</v>
      </c>
      <c r="I614" t="s">
        <v>39</v>
      </c>
      <c r="J614" t="s">
        <v>17</v>
      </c>
      <c r="K614" s="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5">
        <v>728144.01</v>
      </c>
      <c r="F615" s="4">
        <v>0</v>
      </c>
      <c r="G615" s="4">
        <v>69</v>
      </c>
      <c r="H615" s="4">
        <v>36586</v>
      </c>
      <c r="I615" t="s">
        <v>16</v>
      </c>
      <c r="J615" t="s">
        <v>17</v>
      </c>
      <c r="K615" s="4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 s="4">
        <v>72421</v>
      </c>
      <c r="G616" s="4">
        <v>65</v>
      </c>
      <c r="H616" s="4">
        <v>0</v>
      </c>
      <c r="I616" t="s">
        <v>16</v>
      </c>
      <c r="J616" t="s">
        <v>17</v>
      </c>
      <c r="K616" s="4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5">
        <v>467842.34</v>
      </c>
      <c r="F617" s="4">
        <v>83102</v>
      </c>
      <c r="G617" s="4">
        <v>116</v>
      </c>
      <c r="H617" s="4">
        <v>0</v>
      </c>
      <c r="I617" t="s">
        <v>28</v>
      </c>
      <c r="J617" t="s">
        <v>17</v>
      </c>
      <c r="K617" s="4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 s="4">
        <v>28432</v>
      </c>
      <c r="G618" s="4">
        <v>118</v>
      </c>
      <c r="H618" s="4">
        <v>0</v>
      </c>
      <c r="I618" t="s">
        <v>16</v>
      </c>
      <c r="J618" t="s">
        <v>29</v>
      </c>
      <c r="K618" s="4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5">
        <v>871777.78</v>
      </c>
      <c r="F619" s="4">
        <v>83707</v>
      </c>
      <c r="G619" s="4">
        <v>108</v>
      </c>
      <c r="H619" s="4">
        <v>0</v>
      </c>
      <c r="I619" t="s">
        <v>28</v>
      </c>
      <c r="J619" t="s">
        <v>17</v>
      </c>
      <c r="K619" s="4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5">
        <v>523398.68</v>
      </c>
      <c r="F620" s="4">
        <v>63259</v>
      </c>
      <c r="G620" s="4">
        <v>65</v>
      </c>
      <c r="H620" s="4">
        <v>0</v>
      </c>
      <c r="I620" t="s">
        <v>28</v>
      </c>
      <c r="J620" t="s">
        <v>17</v>
      </c>
      <c r="K620" s="4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5">
        <v>476418.97</v>
      </c>
      <c r="F621" s="4">
        <v>0</v>
      </c>
      <c r="G621" s="4">
        <v>67</v>
      </c>
      <c r="H621" s="4">
        <v>0</v>
      </c>
      <c r="I621" t="s">
        <v>16</v>
      </c>
      <c r="J621" t="s">
        <v>17</v>
      </c>
      <c r="K621" s="4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5">
        <v>247246.92</v>
      </c>
      <c r="F622" s="4">
        <v>63860</v>
      </c>
      <c r="G622" s="4">
        <v>62</v>
      </c>
      <c r="H622" s="4">
        <v>0</v>
      </c>
      <c r="I622" t="s">
        <v>16</v>
      </c>
      <c r="J622" t="s">
        <v>17</v>
      </c>
      <c r="K622" s="4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5">
        <v>281369.26</v>
      </c>
      <c r="F623" s="4">
        <v>43836</v>
      </c>
      <c r="G623" s="4">
        <v>73</v>
      </c>
      <c r="H623" s="4">
        <v>0</v>
      </c>
      <c r="I623" t="s">
        <v>16</v>
      </c>
      <c r="J623" t="s">
        <v>17</v>
      </c>
      <c r="K623" s="4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5">
        <v>550505.69999999995</v>
      </c>
      <c r="F624" s="4">
        <v>86132</v>
      </c>
      <c r="G624" s="4">
        <v>68</v>
      </c>
      <c r="H624" s="4">
        <v>0</v>
      </c>
      <c r="I624" t="s">
        <v>16</v>
      </c>
      <c r="J624" t="s">
        <v>24</v>
      </c>
      <c r="K624" s="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5">
        <v>260620.85</v>
      </c>
      <c r="F625" s="4">
        <v>28519</v>
      </c>
      <c r="G625" s="4">
        <v>66</v>
      </c>
      <c r="H625" s="4">
        <v>0</v>
      </c>
      <c r="I625" t="s">
        <v>16</v>
      </c>
      <c r="J625" t="s">
        <v>24</v>
      </c>
      <c r="K625" s="4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5">
        <v>1048194.38</v>
      </c>
      <c r="F626" s="4">
        <v>39102</v>
      </c>
      <c r="G626" s="4">
        <v>88</v>
      </c>
      <c r="H626" s="4">
        <v>0</v>
      </c>
      <c r="I626" t="s">
        <v>16</v>
      </c>
      <c r="J626" t="s">
        <v>17</v>
      </c>
      <c r="K626" s="4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5">
        <v>325676.64</v>
      </c>
      <c r="F627" s="4">
        <v>0</v>
      </c>
      <c r="G627" s="4">
        <v>89</v>
      </c>
      <c r="H627" s="4">
        <v>0</v>
      </c>
      <c r="I627" t="s">
        <v>16</v>
      </c>
      <c r="J627" t="s">
        <v>17</v>
      </c>
      <c r="K627" s="4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5">
        <v>3047578.05</v>
      </c>
      <c r="F628" s="4">
        <v>97298</v>
      </c>
      <c r="G628" s="4">
        <v>128</v>
      </c>
      <c r="H628" s="4">
        <v>0</v>
      </c>
      <c r="I628" t="s">
        <v>16</v>
      </c>
      <c r="J628" t="s">
        <v>78</v>
      </c>
      <c r="K628" s="4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 s="4">
        <v>41986</v>
      </c>
      <c r="G629" s="4">
        <v>84</v>
      </c>
      <c r="H629" s="4">
        <v>36557</v>
      </c>
      <c r="I629" t="s">
        <v>16</v>
      </c>
      <c r="J629" t="s">
        <v>24</v>
      </c>
      <c r="K629" s="4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5">
        <v>946850.93</v>
      </c>
      <c r="F630" s="4">
        <v>0</v>
      </c>
      <c r="G630" s="4">
        <v>88</v>
      </c>
      <c r="H630" s="4">
        <v>0</v>
      </c>
      <c r="I630" t="s">
        <v>16</v>
      </c>
      <c r="J630" t="s">
        <v>24</v>
      </c>
      <c r="K630" s="4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5">
        <v>563145.18999999994</v>
      </c>
      <c r="F631" s="4">
        <v>17291</v>
      </c>
      <c r="G631" s="4">
        <v>73</v>
      </c>
      <c r="H631" s="4">
        <v>0</v>
      </c>
      <c r="I631" t="s">
        <v>16</v>
      </c>
      <c r="J631" t="s">
        <v>17</v>
      </c>
      <c r="K631" s="4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5">
        <v>778099.93</v>
      </c>
      <c r="F632" s="4">
        <v>0</v>
      </c>
      <c r="G632" s="4">
        <v>74</v>
      </c>
      <c r="H632" s="4">
        <v>0</v>
      </c>
      <c r="I632" t="s">
        <v>16</v>
      </c>
      <c r="J632" t="s">
        <v>17</v>
      </c>
      <c r="K632" s="4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 s="4">
        <v>37256</v>
      </c>
      <c r="G633" s="4">
        <v>62</v>
      </c>
      <c r="H633" s="4">
        <v>0</v>
      </c>
      <c r="I633" t="s">
        <v>16</v>
      </c>
      <c r="J633" t="s">
        <v>17</v>
      </c>
      <c r="K633" s="4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 s="4">
        <v>96306</v>
      </c>
      <c r="G634" s="4">
        <v>95</v>
      </c>
      <c r="H634" s="4">
        <v>36526</v>
      </c>
      <c r="I634" t="s">
        <v>28</v>
      </c>
      <c r="J634" t="s">
        <v>17</v>
      </c>
      <c r="K634" s="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5">
        <v>1017971.7</v>
      </c>
      <c r="F635" s="4">
        <v>14290</v>
      </c>
      <c r="G635" s="4">
        <v>271</v>
      </c>
      <c r="H635" s="4">
        <v>0</v>
      </c>
      <c r="I635" t="s">
        <v>16</v>
      </c>
      <c r="J635" t="s">
        <v>65</v>
      </c>
      <c r="K635" s="4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5">
        <v>277283.92</v>
      </c>
      <c r="F636" s="4">
        <v>37038</v>
      </c>
      <c r="G636" s="4">
        <v>71</v>
      </c>
      <c r="H636" s="4">
        <v>36526</v>
      </c>
      <c r="I636" t="s">
        <v>28</v>
      </c>
      <c r="J636" t="s">
        <v>17</v>
      </c>
      <c r="K636" s="4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 s="4">
        <v>90760</v>
      </c>
      <c r="G637" s="4">
        <v>103</v>
      </c>
      <c r="H637" s="4">
        <v>36557</v>
      </c>
      <c r="I637" t="s">
        <v>39</v>
      </c>
      <c r="J637" t="s">
        <v>29</v>
      </c>
      <c r="K637" s="4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5">
        <v>419196.61</v>
      </c>
      <c r="F638" s="4">
        <v>77048</v>
      </c>
      <c r="G638" s="4">
        <v>103</v>
      </c>
      <c r="H638" s="4">
        <v>0</v>
      </c>
      <c r="I638" t="s">
        <v>16</v>
      </c>
      <c r="J638" t="s">
        <v>29</v>
      </c>
      <c r="K638" s="4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5">
        <v>267686.78999999998</v>
      </c>
      <c r="F639" s="4">
        <v>54480</v>
      </c>
      <c r="G639" s="4">
        <v>67</v>
      </c>
      <c r="H639" s="4">
        <v>0</v>
      </c>
      <c r="I639" t="s">
        <v>16</v>
      </c>
      <c r="J639" t="s">
        <v>17</v>
      </c>
      <c r="K639" s="4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 s="4">
        <v>16244</v>
      </c>
      <c r="G640" s="4">
        <v>68</v>
      </c>
      <c r="H640" s="4">
        <v>0</v>
      </c>
      <c r="I640" t="s">
        <v>16</v>
      </c>
      <c r="J640" t="s">
        <v>24</v>
      </c>
      <c r="K640" s="4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5">
        <v>698840.16</v>
      </c>
      <c r="F641" s="4">
        <v>22436</v>
      </c>
      <c r="G641" s="4">
        <v>89</v>
      </c>
      <c r="H641" s="4">
        <v>0</v>
      </c>
      <c r="I641" t="s">
        <v>39</v>
      </c>
      <c r="J641" t="s">
        <v>17</v>
      </c>
      <c r="K641" s="4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5">
        <v>874205.78</v>
      </c>
      <c r="F642" s="4">
        <v>71592</v>
      </c>
      <c r="G642" s="4">
        <v>72</v>
      </c>
      <c r="H642" s="4">
        <v>0</v>
      </c>
      <c r="I642" t="s">
        <v>16</v>
      </c>
      <c r="J642" t="s">
        <v>17</v>
      </c>
      <c r="K642" s="4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5">
        <v>267331.96000000002</v>
      </c>
      <c r="F643" s="4">
        <v>28728</v>
      </c>
      <c r="G643" s="4">
        <v>67</v>
      </c>
      <c r="H643" s="4">
        <v>0</v>
      </c>
      <c r="I643" t="s">
        <v>16</v>
      </c>
      <c r="J643" t="s">
        <v>17</v>
      </c>
      <c r="K643" s="4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5">
        <v>1215732.99</v>
      </c>
      <c r="F644" s="4">
        <v>57449</v>
      </c>
      <c r="G644" s="4">
        <v>103</v>
      </c>
      <c r="H644" s="4">
        <v>0</v>
      </c>
      <c r="I644" t="s">
        <v>16</v>
      </c>
      <c r="J644" t="s">
        <v>17</v>
      </c>
      <c r="K644" s="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5">
        <v>295776.40000000002</v>
      </c>
      <c r="F645" s="4">
        <v>83318</v>
      </c>
      <c r="G645" s="4">
        <v>73</v>
      </c>
      <c r="H645" s="4">
        <v>0</v>
      </c>
      <c r="I645" t="s">
        <v>16</v>
      </c>
      <c r="J645" t="s">
        <v>24</v>
      </c>
      <c r="K645" s="4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21</v>
      </c>
      <c r="E646" s="5">
        <v>717390.94</v>
      </c>
      <c r="F646" s="4">
        <v>75217</v>
      </c>
      <c r="G646" s="4">
        <v>61</v>
      </c>
      <c r="H646" s="4">
        <v>36526</v>
      </c>
      <c r="I646" t="s">
        <v>16</v>
      </c>
      <c r="J646" t="s">
        <v>17</v>
      </c>
      <c r="K646" s="4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5">
        <v>309953.8</v>
      </c>
      <c r="F647" s="4">
        <v>0</v>
      </c>
      <c r="G647" s="4">
        <v>102</v>
      </c>
      <c r="H647" s="4">
        <v>36647</v>
      </c>
      <c r="I647" t="s">
        <v>28</v>
      </c>
      <c r="J647" t="s">
        <v>29</v>
      </c>
      <c r="K647" s="4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5">
        <v>841568.46</v>
      </c>
      <c r="F648" s="4">
        <v>55308</v>
      </c>
      <c r="G648" s="4">
        <v>107</v>
      </c>
      <c r="H648" s="4">
        <v>0</v>
      </c>
      <c r="I648" t="s">
        <v>28</v>
      </c>
      <c r="J648" t="s">
        <v>29</v>
      </c>
      <c r="K648" s="4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5">
        <v>2684312.4500000002</v>
      </c>
      <c r="F649" s="4">
        <v>36068</v>
      </c>
      <c r="G649" s="4">
        <v>97</v>
      </c>
      <c r="H649" s="4">
        <v>0</v>
      </c>
      <c r="I649" t="s">
        <v>16</v>
      </c>
      <c r="J649" t="s">
        <v>24</v>
      </c>
      <c r="K649" s="4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5">
        <v>1305717.07</v>
      </c>
      <c r="F650" s="4">
        <v>48804</v>
      </c>
      <c r="G650" s="4">
        <v>112</v>
      </c>
      <c r="H650" s="4">
        <v>36526</v>
      </c>
      <c r="I650" t="s">
        <v>28</v>
      </c>
      <c r="J650" t="s">
        <v>17</v>
      </c>
      <c r="K650" s="4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 s="4">
        <v>0</v>
      </c>
      <c r="G651" s="4">
        <v>131</v>
      </c>
      <c r="H651" s="4">
        <v>0</v>
      </c>
      <c r="I651" t="s">
        <v>16</v>
      </c>
      <c r="J651" t="s">
        <v>29</v>
      </c>
      <c r="K651" s="4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5">
        <v>853510.89</v>
      </c>
      <c r="F652" s="4">
        <v>55790</v>
      </c>
      <c r="G652" s="4">
        <v>111</v>
      </c>
      <c r="H652" s="4">
        <v>0</v>
      </c>
      <c r="I652" t="s">
        <v>16</v>
      </c>
      <c r="J652" t="s">
        <v>29</v>
      </c>
      <c r="K652" s="4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5">
        <v>829348.19</v>
      </c>
      <c r="F653" s="4">
        <v>70258</v>
      </c>
      <c r="G653" s="4">
        <v>69</v>
      </c>
      <c r="H653" s="4">
        <v>0</v>
      </c>
      <c r="I653" t="s">
        <v>16</v>
      </c>
      <c r="J653" t="s">
        <v>17</v>
      </c>
      <c r="K653" s="4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5">
        <v>684615.03</v>
      </c>
      <c r="F654" s="4">
        <v>0</v>
      </c>
      <c r="G654" s="4">
        <v>95</v>
      </c>
      <c r="H654" s="4">
        <v>0</v>
      </c>
      <c r="I654" t="s">
        <v>16</v>
      </c>
      <c r="J654" t="s">
        <v>24</v>
      </c>
      <c r="K654" s="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5">
        <v>663685.98</v>
      </c>
      <c r="F655" s="4">
        <v>47274</v>
      </c>
      <c r="G655" s="4">
        <v>83</v>
      </c>
      <c r="H655" s="4">
        <v>36526</v>
      </c>
      <c r="I655" t="s">
        <v>28</v>
      </c>
      <c r="J655" t="s">
        <v>17</v>
      </c>
      <c r="K655" s="4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5">
        <v>560908.25</v>
      </c>
      <c r="F656" s="4">
        <v>44705</v>
      </c>
      <c r="G656" s="4">
        <v>71</v>
      </c>
      <c r="H656" s="4">
        <v>0</v>
      </c>
      <c r="I656" t="s">
        <v>16</v>
      </c>
      <c r="J656" t="s">
        <v>24</v>
      </c>
      <c r="K656" s="4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5">
        <v>507732.09</v>
      </c>
      <c r="F657" s="4">
        <v>0</v>
      </c>
      <c r="G657" s="4">
        <v>73</v>
      </c>
      <c r="H657" s="4">
        <v>0</v>
      </c>
      <c r="I657" t="s">
        <v>16</v>
      </c>
      <c r="J657" t="s">
        <v>24</v>
      </c>
      <c r="K657" s="4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5">
        <v>527562.69999999995</v>
      </c>
      <c r="F658" s="4">
        <v>70446</v>
      </c>
      <c r="G658" s="4">
        <v>65</v>
      </c>
      <c r="H658" s="4">
        <v>0</v>
      </c>
      <c r="I658" t="s">
        <v>16</v>
      </c>
      <c r="J658" t="s">
        <v>17</v>
      </c>
      <c r="K658" s="4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5">
        <v>251459.20000000001</v>
      </c>
      <c r="F659" s="4">
        <v>43860</v>
      </c>
      <c r="G659" s="4">
        <v>65</v>
      </c>
      <c r="H659" s="4">
        <v>0</v>
      </c>
      <c r="I659" t="s">
        <v>16</v>
      </c>
      <c r="J659" t="s">
        <v>17</v>
      </c>
      <c r="K659" s="4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5">
        <v>343525.01</v>
      </c>
      <c r="F660" s="4">
        <v>64348</v>
      </c>
      <c r="G660" s="4">
        <v>86</v>
      </c>
      <c r="H660" s="4">
        <v>0</v>
      </c>
      <c r="I660" t="s">
        <v>16</v>
      </c>
      <c r="J660" t="s">
        <v>24</v>
      </c>
      <c r="K660" s="4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5">
        <v>662461.18000000005</v>
      </c>
      <c r="F661" s="4">
        <v>0</v>
      </c>
      <c r="G661" s="4">
        <v>62</v>
      </c>
      <c r="H661" s="4">
        <v>0</v>
      </c>
      <c r="I661" t="s">
        <v>28</v>
      </c>
      <c r="J661" t="s">
        <v>24</v>
      </c>
      <c r="K661" s="4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5">
        <v>575744.23</v>
      </c>
      <c r="F662" s="4">
        <v>88997</v>
      </c>
      <c r="G662" s="4">
        <v>72</v>
      </c>
      <c r="H662" s="4">
        <v>0</v>
      </c>
      <c r="I662" t="s">
        <v>39</v>
      </c>
      <c r="J662" t="s">
        <v>17</v>
      </c>
      <c r="K662" s="4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5">
        <v>251459.20000000001</v>
      </c>
      <c r="F663" s="4">
        <v>43860</v>
      </c>
      <c r="G663" s="4">
        <v>65</v>
      </c>
      <c r="H663" s="4">
        <v>0</v>
      </c>
      <c r="I663" t="s">
        <v>28</v>
      </c>
      <c r="J663" t="s">
        <v>17</v>
      </c>
      <c r="K663" s="4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5">
        <v>288645.15999999997</v>
      </c>
      <c r="F664" s="4">
        <v>10312</v>
      </c>
      <c r="G664" s="4">
        <v>78</v>
      </c>
      <c r="H664" s="4">
        <v>0</v>
      </c>
      <c r="I664" t="s">
        <v>28</v>
      </c>
      <c r="J664" t="s">
        <v>17</v>
      </c>
      <c r="K664" s="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5">
        <v>534143.88</v>
      </c>
      <c r="F665" s="4">
        <v>0</v>
      </c>
      <c r="G665" s="4">
        <v>72</v>
      </c>
      <c r="H665" s="4">
        <v>36526</v>
      </c>
      <c r="I665" t="s">
        <v>16</v>
      </c>
      <c r="J665" t="s">
        <v>17</v>
      </c>
      <c r="K665" s="4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5">
        <v>416001.81</v>
      </c>
      <c r="F666" s="4">
        <v>96263</v>
      </c>
      <c r="G666" s="4">
        <v>103</v>
      </c>
      <c r="H666" s="4">
        <v>0</v>
      </c>
      <c r="I666" t="s">
        <v>16</v>
      </c>
      <c r="J666" t="s">
        <v>29</v>
      </c>
      <c r="K666" s="4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5">
        <v>284624.53999999998</v>
      </c>
      <c r="F667" s="4">
        <v>28919</v>
      </c>
      <c r="G667" s="4">
        <v>72</v>
      </c>
      <c r="H667" s="4">
        <v>0</v>
      </c>
      <c r="I667" t="s">
        <v>28</v>
      </c>
      <c r="J667" t="s">
        <v>17</v>
      </c>
      <c r="K667" s="4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5">
        <v>477025.66</v>
      </c>
      <c r="F668" s="4">
        <v>0</v>
      </c>
      <c r="G668" s="4">
        <v>68</v>
      </c>
      <c r="H668" s="4">
        <v>36526</v>
      </c>
      <c r="I668" t="s">
        <v>16</v>
      </c>
      <c r="J668" t="s">
        <v>24</v>
      </c>
      <c r="K668" s="4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5">
        <v>505961.62</v>
      </c>
      <c r="F669" s="4">
        <v>41869</v>
      </c>
      <c r="G669" s="4">
        <v>64</v>
      </c>
      <c r="H669" s="4">
        <v>0</v>
      </c>
      <c r="I669" t="s">
        <v>16</v>
      </c>
      <c r="J669" t="s">
        <v>24</v>
      </c>
      <c r="K669" s="4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5">
        <v>909574.46</v>
      </c>
      <c r="F670" s="4">
        <v>0</v>
      </c>
      <c r="G670" s="4">
        <v>128</v>
      </c>
      <c r="H670" s="4">
        <v>0</v>
      </c>
      <c r="I670" t="s">
        <v>16</v>
      </c>
      <c r="J670" t="s">
        <v>29</v>
      </c>
      <c r="K670" s="4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5">
        <v>268886.40000000002</v>
      </c>
      <c r="F671" s="4">
        <v>32808</v>
      </c>
      <c r="G671" s="4">
        <v>68</v>
      </c>
      <c r="H671" s="4">
        <v>36526</v>
      </c>
      <c r="I671" t="s">
        <v>16</v>
      </c>
      <c r="J671" t="s">
        <v>17</v>
      </c>
      <c r="K671" s="4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5">
        <v>827763.76</v>
      </c>
      <c r="F672" s="4">
        <v>79780</v>
      </c>
      <c r="G672" s="4">
        <v>68</v>
      </c>
      <c r="H672" s="4">
        <v>0</v>
      </c>
      <c r="I672" t="s">
        <v>16</v>
      </c>
      <c r="J672" t="s">
        <v>17</v>
      </c>
      <c r="K672" s="4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5">
        <v>905793.53</v>
      </c>
      <c r="F673" s="4">
        <v>91025</v>
      </c>
      <c r="G673" s="4">
        <v>112</v>
      </c>
      <c r="H673" s="4">
        <v>0</v>
      </c>
      <c r="I673" t="s">
        <v>16</v>
      </c>
      <c r="J673" t="s">
        <v>29</v>
      </c>
      <c r="K673" s="4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5">
        <v>380175.04</v>
      </c>
      <c r="F674" s="4">
        <v>33043</v>
      </c>
      <c r="G674" s="4">
        <v>95</v>
      </c>
      <c r="H674" s="4">
        <v>0</v>
      </c>
      <c r="I674" t="s">
        <v>16</v>
      </c>
      <c r="J674" t="s">
        <v>24</v>
      </c>
      <c r="K674" s="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5">
        <v>933934.16</v>
      </c>
      <c r="F675" s="4">
        <v>69442</v>
      </c>
      <c r="G675" s="4">
        <v>118</v>
      </c>
      <c r="H675" s="4">
        <v>36586</v>
      </c>
      <c r="I675" t="s">
        <v>16</v>
      </c>
      <c r="J675" t="s">
        <v>17</v>
      </c>
      <c r="K675" s="4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 s="4">
        <v>0</v>
      </c>
      <c r="G676" s="4">
        <v>70</v>
      </c>
      <c r="H676" s="4">
        <v>0</v>
      </c>
      <c r="I676" t="s">
        <v>28</v>
      </c>
      <c r="J676" t="s">
        <v>17</v>
      </c>
      <c r="K676" s="4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5">
        <v>498409.53</v>
      </c>
      <c r="F677" s="4">
        <v>0</v>
      </c>
      <c r="G677" s="4">
        <v>70</v>
      </c>
      <c r="H677" s="4">
        <v>0</v>
      </c>
      <c r="I677" t="s">
        <v>28</v>
      </c>
      <c r="J677" t="s">
        <v>17</v>
      </c>
      <c r="K677" s="4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5">
        <v>259574.8</v>
      </c>
      <c r="F678" s="4">
        <v>47234</v>
      </c>
      <c r="G678" s="4">
        <v>65</v>
      </c>
      <c r="H678" s="4">
        <v>0</v>
      </c>
      <c r="I678" t="s">
        <v>16</v>
      </c>
      <c r="J678" t="s">
        <v>17</v>
      </c>
      <c r="K678" s="4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 s="4">
        <v>86863</v>
      </c>
      <c r="G679" s="4">
        <v>92</v>
      </c>
      <c r="H679" s="4">
        <v>0</v>
      </c>
      <c r="I679" t="s">
        <v>16</v>
      </c>
      <c r="J679" t="s">
        <v>17</v>
      </c>
      <c r="K679" s="4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5">
        <v>1453678.76</v>
      </c>
      <c r="F680" s="4">
        <v>25805</v>
      </c>
      <c r="G680" s="4">
        <v>66</v>
      </c>
      <c r="H680" s="4">
        <v>36557</v>
      </c>
      <c r="I680" t="s">
        <v>16</v>
      </c>
      <c r="J680" t="s">
        <v>17</v>
      </c>
      <c r="K680" s="4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5">
        <v>591330.59</v>
      </c>
      <c r="F681" s="4">
        <v>43676</v>
      </c>
      <c r="G681" s="4">
        <v>76</v>
      </c>
      <c r="H681" s="4">
        <v>0</v>
      </c>
      <c r="I681" t="s">
        <v>16</v>
      </c>
      <c r="J681" t="s">
        <v>17</v>
      </c>
      <c r="K681" s="4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5">
        <v>277166.3</v>
      </c>
      <c r="F682" s="4">
        <v>59855</v>
      </c>
      <c r="G682" s="4">
        <v>74</v>
      </c>
      <c r="H682" s="4">
        <v>36617</v>
      </c>
      <c r="I682" t="s">
        <v>16</v>
      </c>
      <c r="J682" t="s">
        <v>24</v>
      </c>
      <c r="K682" s="4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5">
        <v>2919436.64</v>
      </c>
      <c r="F683" s="4">
        <v>35296</v>
      </c>
      <c r="G683" s="4">
        <v>126</v>
      </c>
      <c r="H683" s="4">
        <v>0</v>
      </c>
      <c r="I683" t="s">
        <v>16</v>
      </c>
      <c r="J683" t="s">
        <v>29</v>
      </c>
      <c r="K683" s="4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5">
        <v>988038.58</v>
      </c>
      <c r="F684" s="4">
        <v>36576</v>
      </c>
      <c r="G684" s="4">
        <v>125</v>
      </c>
      <c r="H684" s="4">
        <v>36526</v>
      </c>
      <c r="I684" t="s">
        <v>16</v>
      </c>
      <c r="J684" t="s">
        <v>29</v>
      </c>
      <c r="K684" s="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5">
        <v>1511440.24</v>
      </c>
      <c r="F685" s="4">
        <v>28513</v>
      </c>
      <c r="G685" s="4">
        <v>100</v>
      </c>
      <c r="H685" s="4">
        <v>36526</v>
      </c>
      <c r="I685" t="s">
        <v>28</v>
      </c>
      <c r="J685" t="s">
        <v>29</v>
      </c>
      <c r="K685" s="4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5">
        <v>575991.07999999996</v>
      </c>
      <c r="F686" s="4">
        <v>85448</v>
      </c>
      <c r="G686" s="4">
        <v>72</v>
      </c>
      <c r="H686" s="4">
        <v>0</v>
      </c>
      <c r="I686" t="s">
        <v>39</v>
      </c>
      <c r="J686" t="s">
        <v>17</v>
      </c>
      <c r="K686" s="4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5">
        <v>849516.42</v>
      </c>
      <c r="F687" s="4">
        <v>23791</v>
      </c>
      <c r="G687" s="4">
        <v>110</v>
      </c>
      <c r="H687" s="4">
        <v>36586</v>
      </c>
      <c r="I687" t="s">
        <v>16</v>
      </c>
      <c r="J687" t="s">
        <v>24</v>
      </c>
      <c r="K687" s="4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5">
        <v>438118.42</v>
      </c>
      <c r="F688" s="4">
        <v>20597</v>
      </c>
      <c r="G688" s="4">
        <v>112</v>
      </c>
      <c r="H688" s="4">
        <v>0</v>
      </c>
      <c r="I688" t="s">
        <v>16</v>
      </c>
      <c r="J688" t="s">
        <v>17</v>
      </c>
      <c r="K688" s="4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5">
        <v>699782.74</v>
      </c>
      <c r="F689" s="4">
        <v>56940</v>
      </c>
      <c r="G689" s="4">
        <v>87</v>
      </c>
      <c r="H689" s="4">
        <v>0</v>
      </c>
      <c r="I689" t="s">
        <v>16</v>
      </c>
      <c r="J689" t="s">
        <v>17</v>
      </c>
      <c r="K689" s="4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5">
        <v>1143058.8500000001</v>
      </c>
      <c r="F690" s="4">
        <v>93210</v>
      </c>
      <c r="G690" s="4">
        <v>71</v>
      </c>
      <c r="H690" s="4">
        <v>0</v>
      </c>
      <c r="I690" t="s">
        <v>16</v>
      </c>
      <c r="J690" t="s">
        <v>24</v>
      </c>
      <c r="K690" s="4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5">
        <v>748248.61</v>
      </c>
      <c r="F691" s="4">
        <v>48992</v>
      </c>
      <c r="G691" s="4">
        <v>94</v>
      </c>
      <c r="H691" s="4">
        <v>36526</v>
      </c>
      <c r="I691" t="s">
        <v>16</v>
      </c>
      <c r="J691" t="s">
        <v>17</v>
      </c>
      <c r="K691" s="4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5">
        <v>859691.66</v>
      </c>
      <c r="F692" s="4">
        <v>53736</v>
      </c>
      <c r="G692" s="4">
        <v>71</v>
      </c>
      <c r="H692" s="4">
        <v>0</v>
      </c>
      <c r="I692" t="s">
        <v>16</v>
      </c>
      <c r="J692" t="s">
        <v>24</v>
      </c>
      <c r="K692" s="4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5">
        <v>785496.08</v>
      </c>
      <c r="F693" s="4">
        <v>25378</v>
      </c>
      <c r="G693" s="4">
        <v>66</v>
      </c>
      <c r="H693" s="4">
        <v>36526</v>
      </c>
      <c r="I693" t="s">
        <v>16</v>
      </c>
      <c r="J693" t="s">
        <v>17</v>
      </c>
      <c r="K693" s="4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5">
        <v>258240.85</v>
      </c>
      <c r="F694" s="4">
        <v>76731</v>
      </c>
      <c r="G694" s="4">
        <v>64</v>
      </c>
      <c r="H694" s="4">
        <v>0</v>
      </c>
      <c r="I694" t="s">
        <v>16</v>
      </c>
      <c r="J694" t="s">
        <v>17</v>
      </c>
      <c r="K694" s="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5">
        <v>907576.82</v>
      </c>
      <c r="F695" s="4">
        <v>37722</v>
      </c>
      <c r="G695" s="4">
        <v>116</v>
      </c>
      <c r="H695" s="4">
        <v>0</v>
      </c>
      <c r="I695" t="s">
        <v>28</v>
      </c>
      <c r="J695" t="s">
        <v>78</v>
      </c>
      <c r="K695" s="4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5">
        <v>411858.86</v>
      </c>
      <c r="F696" s="4">
        <v>69379</v>
      </c>
      <c r="G696" s="4">
        <v>103</v>
      </c>
      <c r="H696" s="4">
        <v>0</v>
      </c>
      <c r="I696" t="s">
        <v>16</v>
      </c>
      <c r="J696" t="s">
        <v>24</v>
      </c>
      <c r="K696" s="4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 s="4">
        <v>57449</v>
      </c>
      <c r="G697" s="4">
        <v>103</v>
      </c>
      <c r="H697" s="4">
        <v>0</v>
      </c>
      <c r="I697" t="s">
        <v>16</v>
      </c>
      <c r="J697" t="s">
        <v>17</v>
      </c>
      <c r="K697" s="4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5">
        <v>515281.96</v>
      </c>
      <c r="F698" s="4">
        <v>0</v>
      </c>
      <c r="G698" s="4">
        <v>68</v>
      </c>
      <c r="H698" s="4">
        <v>0</v>
      </c>
      <c r="I698" t="s">
        <v>28</v>
      </c>
      <c r="J698" t="s">
        <v>17</v>
      </c>
      <c r="K698" s="4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 s="4">
        <v>0</v>
      </c>
      <c r="G699" s="4">
        <v>93</v>
      </c>
      <c r="H699" s="4">
        <v>0</v>
      </c>
      <c r="I699" t="s">
        <v>16</v>
      </c>
      <c r="J699" t="s">
        <v>24</v>
      </c>
      <c r="K699" s="4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5">
        <v>2778969.24</v>
      </c>
      <c r="F700" s="4">
        <v>33806</v>
      </c>
      <c r="G700" s="4">
        <v>89</v>
      </c>
      <c r="H700" s="4">
        <v>0</v>
      </c>
      <c r="I700" t="s">
        <v>28</v>
      </c>
      <c r="J700" t="s">
        <v>17</v>
      </c>
      <c r="K700" s="4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5">
        <v>266727</v>
      </c>
      <c r="F701" s="4">
        <v>94041</v>
      </c>
      <c r="G701" s="4">
        <v>66</v>
      </c>
      <c r="H701" s="4">
        <v>0</v>
      </c>
      <c r="I701" t="s">
        <v>16</v>
      </c>
      <c r="J701" t="s">
        <v>17</v>
      </c>
      <c r="K701" s="4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5">
        <v>1092840.71</v>
      </c>
      <c r="F702" s="4">
        <v>74965</v>
      </c>
      <c r="G702" s="4">
        <v>90</v>
      </c>
      <c r="H702" s="4">
        <v>0</v>
      </c>
      <c r="I702" t="s">
        <v>16</v>
      </c>
      <c r="J702" t="s">
        <v>17</v>
      </c>
      <c r="K702" s="4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5">
        <v>761538.13</v>
      </c>
      <c r="F703" s="4">
        <v>34095</v>
      </c>
      <c r="G703" s="4">
        <v>63</v>
      </c>
      <c r="H703" s="4">
        <v>0</v>
      </c>
      <c r="I703" t="s">
        <v>16</v>
      </c>
      <c r="J703" t="s">
        <v>24</v>
      </c>
      <c r="K703" s="4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5">
        <v>200435.07</v>
      </c>
      <c r="F704" s="4">
        <v>0</v>
      </c>
      <c r="G704" s="4">
        <v>66</v>
      </c>
      <c r="H704" s="4">
        <v>36617</v>
      </c>
      <c r="I704" t="s">
        <v>16</v>
      </c>
      <c r="J704" t="s">
        <v>17</v>
      </c>
      <c r="K704" s="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 s="4">
        <v>96045</v>
      </c>
      <c r="G705" s="4">
        <v>61</v>
      </c>
      <c r="H705" s="4">
        <v>0</v>
      </c>
      <c r="I705" t="s">
        <v>28</v>
      </c>
      <c r="J705" t="s">
        <v>17</v>
      </c>
      <c r="K705" s="4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5">
        <v>1419536.03</v>
      </c>
      <c r="F706" s="4">
        <v>86355</v>
      </c>
      <c r="G706" s="4">
        <v>118</v>
      </c>
      <c r="H706" s="4">
        <v>0</v>
      </c>
      <c r="I706" t="s">
        <v>16</v>
      </c>
      <c r="J706" t="s">
        <v>78</v>
      </c>
      <c r="K706" s="4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5">
        <v>942768.49</v>
      </c>
      <c r="F707" s="4">
        <v>27824</v>
      </c>
      <c r="G707" s="4">
        <v>118</v>
      </c>
      <c r="H707" s="4">
        <v>0</v>
      </c>
      <c r="I707" t="s">
        <v>16</v>
      </c>
      <c r="J707" t="s">
        <v>29</v>
      </c>
      <c r="K707" s="4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 s="4">
        <v>42995</v>
      </c>
      <c r="G708" s="4">
        <v>101</v>
      </c>
      <c r="H708" s="4">
        <v>0</v>
      </c>
      <c r="I708" t="s">
        <v>16</v>
      </c>
      <c r="J708" t="s">
        <v>29</v>
      </c>
      <c r="K708" s="4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5">
        <v>310278.95</v>
      </c>
      <c r="F709" s="4">
        <v>21235</v>
      </c>
      <c r="G709" s="4">
        <v>79</v>
      </c>
      <c r="H709" s="4">
        <v>0</v>
      </c>
      <c r="I709" t="s">
        <v>16</v>
      </c>
      <c r="J709" t="s">
        <v>24</v>
      </c>
      <c r="K709" s="4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 s="4">
        <v>74585</v>
      </c>
      <c r="G710" s="4">
        <v>106</v>
      </c>
      <c r="H710" s="4">
        <v>0</v>
      </c>
      <c r="I710" t="s">
        <v>16</v>
      </c>
      <c r="J710" t="s">
        <v>29</v>
      </c>
      <c r="K710" s="4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5">
        <v>402381.44</v>
      </c>
      <c r="F711" s="4">
        <v>41833</v>
      </c>
      <c r="G711" s="4">
        <v>103</v>
      </c>
      <c r="H711" s="4">
        <v>0</v>
      </c>
      <c r="I711" t="s">
        <v>16</v>
      </c>
      <c r="J711" t="s">
        <v>17</v>
      </c>
      <c r="K711" s="4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5">
        <v>529715.18000000005</v>
      </c>
      <c r="F712" s="4">
        <v>23908</v>
      </c>
      <c r="G712" s="4">
        <v>70</v>
      </c>
      <c r="H712" s="4">
        <v>0</v>
      </c>
      <c r="I712" t="s">
        <v>16</v>
      </c>
      <c r="J712" t="s">
        <v>17</v>
      </c>
      <c r="K712" s="4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5">
        <v>2142363.7200000002</v>
      </c>
      <c r="F713" s="4">
        <v>0</v>
      </c>
      <c r="G713" s="4">
        <v>65</v>
      </c>
      <c r="H713" s="4">
        <v>0</v>
      </c>
      <c r="I713" t="s">
        <v>16</v>
      </c>
      <c r="J713" t="s">
        <v>24</v>
      </c>
      <c r="K713" s="4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5">
        <v>441620.62</v>
      </c>
      <c r="F714" s="4">
        <v>61953</v>
      </c>
      <c r="G714" s="4">
        <v>113</v>
      </c>
      <c r="H714" s="4">
        <v>0</v>
      </c>
      <c r="I714" t="s">
        <v>16</v>
      </c>
      <c r="J714" t="s">
        <v>29</v>
      </c>
      <c r="K714" s="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5">
        <v>463903.52</v>
      </c>
      <c r="F715" s="4">
        <v>0</v>
      </c>
      <c r="G715" s="4">
        <v>142</v>
      </c>
      <c r="H715" s="4">
        <v>0</v>
      </c>
      <c r="I715" t="s">
        <v>28</v>
      </c>
      <c r="J715" t="s">
        <v>29</v>
      </c>
      <c r="K715" s="4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5">
        <v>486354.46</v>
      </c>
      <c r="F716" s="4">
        <v>0</v>
      </c>
      <c r="G716" s="4">
        <v>137</v>
      </c>
      <c r="H716" s="4">
        <v>0</v>
      </c>
      <c r="I716" t="s">
        <v>16</v>
      </c>
      <c r="J716" t="s">
        <v>29</v>
      </c>
      <c r="K716" s="4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5">
        <v>2583090.98</v>
      </c>
      <c r="F717" s="4">
        <v>73760</v>
      </c>
      <c r="G717" s="4">
        <v>107</v>
      </c>
      <c r="H717" s="4">
        <v>36526</v>
      </c>
      <c r="I717" t="s">
        <v>16</v>
      </c>
      <c r="J717" t="s">
        <v>78</v>
      </c>
      <c r="K717" s="4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5">
        <v>297431.49</v>
      </c>
      <c r="F718" s="4">
        <v>23333</v>
      </c>
      <c r="G718" s="4">
        <v>74</v>
      </c>
      <c r="H718" s="4">
        <v>0</v>
      </c>
      <c r="I718" t="s">
        <v>28</v>
      </c>
      <c r="J718" t="s">
        <v>17</v>
      </c>
      <c r="K718" s="4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 s="4">
        <v>0</v>
      </c>
      <c r="G719" s="4">
        <v>61</v>
      </c>
      <c r="H719" s="4">
        <v>0</v>
      </c>
      <c r="I719" t="s">
        <v>16</v>
      </c>
      <c r="J719" t="s">
        <v>17</v>
      </c>
      <c r="K719" s="4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5">
        <v>1006460.83</v>
      </c>
      <c r="F720" s="4">
        <v>20440</v>
      </c>
      <c r="G720" s="4">
        <v>128</v>
      </c>
      <c r="H720" s="4">
        <v>36557</v>
      </c>
      <c r="I720" t="s">
        <v>28</v>
      </c>
      <c r="J720" t="s">
        <v>78</v>
      </c>
      <c r="K720" s="4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5">
        <v>803240.19</v>
      </c>
      <c r="F721" s="4">
        <v>27658</v>
      </c>
      <c r="G721" s="4">
        <v>68</v>
      </c>
      <c r="H721" s="4">
        <v>0</v>
      </c>
      <c r="I721" t="s">
        <v>16</v>
      </c>
      <c r="J721" t="s">
        <v>17</v>
      </c>
      <c r="K721" s="4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 s="4">
        <v>50943</v>
      </c>
      <c r="G722" s="4">
        <v>139</v>
      </c>
      <c r="H722" s="4">
        <v>0</v>
      </c>
      <c r="I722" t="s">
        <v>39</v>
      </c>
      <c r="J722" t="s">
        <v>29</v>
      </c>
      <c r="K722" s="4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5">
        <v>261275.67</v>
      </c>
      <c r="F723" s="4">
        <v>19003</v>
      </c>
      <c r="G723" s="4">
        <v>71</v>
      </c>
      <c r="H723" s="4">
        <v>0</v>
      </c>
      <c r="I723" t="s">
        <v>16</v>
      </c>
      <c r="J723" t="s">
        <v>24</v>
      </c>
      <c r="K723" s="4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 s="4">
        <v>46703</v>
      </c>
      <c r="G724" s="4">
        <v>108</v>
      </c>
      <c r="H724" s="4">
        <v>0</v>
      </c>
      <c r="I724" t="s">
        <v>16</v>
      </c>
      <c r="J724" t="s">
        <v>17</v>
      </c>
      <c r="K724" s="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5">
        <v>2412750.4</v>
      </c>
      <c r="F725" s="4">
        <v>14072</v>
      </c>
      <c r="G725" s="4">
        <v>71</v>
      </c>
      <c r="H725" s="4">
        <v>0</v>
      </c>
      <c r="I725" t="s">
        <v>16</v>
      </c>
      <c r="J725" t="s">
        <v>17</v>
      </c>
      <c r="K725" s="4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 s="4">
        <v>21733</v>
      </c>
      <c r="G726" s="4">
        <v>73</v>
      </c>
      <c r="H726" s="4">
        <v>0</v>
      </c>
      <c r="I726" t="s">
        <v>28</v>
      </c>
      <c r="J726" t="s">
        <v>17</v>
      </c>
      <c r="K726" s="4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5">
        <v>230864.8</v>
      </c>
      <c r="F727" s="4">
        <v>20811</v>
      </c>
      <c r="G727" s="4">
        <v>61</v>
      </c>
      <c r="H727" s="4">
        <v>0</v>
      </c>
      <c r="I727" t="s">
        <v>16</v>
      </c>
      <c r="J727" t="s">
        <v>17</v>
      </c>
      <c r="K727" s="4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5">
        <v>425462.07</v>
      </c>
      <c r="F728" s="4">
        <v>11904</v>
      </c>
      <c r="G728" s="4">
        <v>61</v>
      </c>
      <c r="H728" s="4">
        <v>36557</v>
      </c>
      <c r="I728" t="s">
        <v>16</v>
      </c>
      <c r="J728" t="s">
        <v>24</v>
      </c>
      <c r="K728" s="4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5">
        <v>898285.04</v>
      </c>
      <c r="F729" s="4">
        <v>43490</v>
      </c>
      <c r="G729" s="4">
        <v>114</v>
      </c>
      <c r="H729" s="4">
        <v>36617</v>
      </c>
      <c r="I729" t="s">
        <v>28</v>
      </c>
      <c r="J729" t="s">
        <v>29</v>
      </c>
      <c r="K729" s="4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 s="4">
        <v>57340</v>
      </c>
      <c r="G730" s="4">
        <v>67</v>
      </c>
      <c r="H730" s="4">
        <v>0</v>
      </c>
      <c r="I730" t="s">
        <v>28</v>
      </c>
      <c r="J730" t="s">
        <v>17</v>
      </c>
      <c r="K730" s="4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 s="4">
        <v>49088</v>
      </c>
      <c r="G731" s="4">
        <v>97</v>
      </c>
      <c r="H731" s="4">
        <v>0</v>
      </c>
      <c r="I731" t="s">
        <v>28</v>
      </c>
      <c r="J731" t="s">
        <v>17</v>
      </c>
      <c r="K731" s="4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5">
        <v>1055217</v>
      </c>
      <c r="F732" s="4">
        <v>47761</v>
      </c>
      <c r="G732" s="4">
        <v>131</v>
      </c>
      <c r="H732" s="4">
        <v>0</v>
      </c>
      <c r="I732" t="s">
        <v>16</v>
      </c>
      <c r="J732" t="s">
        <v>29</v>
      </c>
      <c r="K732" s="4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5">
        <v>1604510.95</v>
      </c>
      <c r="F733" s="4">
        <v>0</v>
      </c>
      <c r="G733" s="4">
        <v>65</v>
      </c>
      <c r="H733" s="4">
        <v>0</v>
      </c>
      <c r="I733" t="s">
        <v>16</v>
      </c>
      <c r="J733" t="s">
        <v>24</v>
      </c>
      <c r="K733" s="4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5">
        <v>873783.75</v>
      </c>
      <c r="F734" s="4">
        <v>61281</v>
      </c>
      <c r="G734" s="4">
        <v>110</v>
      </c>
      <c r="H734" s="4">
        <v>0</v>
      </c>
      <c r="I734" t="s">
        <v>16</v>
      </c>
      <c r="J734" t="s">
        <v>29</v>
      </c>
      <c r="K734" s="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5">
        <v>545489.06999999995</v>
      </c>
      <c r="F735" s="4">
        <v>0</v>
      </c>
      <c r="G735" s="4">
        <v>82</v>
      </c>
      <c r="H735" s="4">
        <v>36526</v>
      </c>
      <c r="I735" t="s">
        <v>28</v>
      </c>
      <c r="J735" t="s">
        <v>24</v>
      </c>
      <c r="K735" s="4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5">
        <v>770528.33</v>
      </c>
      <c r="F736" s="4">
        <v>25290</v>
      </c>
      <c r="G736" s="4">
        <v>66</v>
      </c>
      <c r="H736" s="4">
        <v>0</v>
      </c>
      <c r="I736" t="s">
        <v>16</v>
      </c>
      <c r="J736" t="s">
        <v>17</v>
      </c>
      <c r="K736" s="4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5">
        <v>703926.24</v>
      </c>
      <c r="F737" s="4">
        <v>24239</v>
      </c>
      <c r="G737" s="4">
        <v>88</v>
      </c>
      <c r="H737" s="4">
        <v>0</v>
      </c>
      <c r="I737" t="s">
        <v>16</v>
      </c>
      <c r="J737" t="s">
        <v>17</v>
      </c>
      <c r="K737" s="4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5">
        <v>883808.56</v>
      </c>
      <c r="F738" s="4">
        <v>82664</v>
      </c>
      <c r="G738" s="4">
        <v>114</v>
      </c>
      <c r="H738" s="4">
        <v>36586</v>
      </c>
      <c r="I738" t="s">
        <v>16</v>
      </c>
      <c r="J738" t="s">
        <v>29</v>
      </c>
      <c r="K738" s="4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5">
        <v>873352.73</v>
      </c>
      <c r="F739" s="4">
        <v>83210</v>
      </c>
      <c r="G739" s="4">
        <v>110</v>
      </c>
      <c r="H739" s="4">
        <v>0</v>
      </c>
      <c r="I739" t="s">
        <v>16</v>
      </c>
      <c r="J739" t="s">
        <v>78</v>
      </c>
      <c r="K739" s="4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5">
        <v>959747.48</v>
      </c>
      <c r="F740" s="4">
        <v>38736</v>
      </c>
      <c r="G740" s="4">
        <v>81</v>
      </c>
      <c r="H740" s="4">
        <v>0</v>
      </c>
      <c r="I740" t="s">
        <v>16</v>
      </c>
      <c r="J740" t="s">
        <v>24</v>
      </c>
      <c r="K740" s="4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 s="4">
        <v>0</v>
      </c>
      <c r="G741" s="4">
        <v>66</v>
      </c>
      <c r="H741" s="4">
        <v>0</v>
      </c>
      <c r="I741" t="s">
        <v>16</v>
      </c>
      <c r="J741" t="s">
        <v>17</v>
      </c>
      <c r="K741" s="4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 s="4">
        <v>55437</v>
      </c>
      <c r="G742" s="4">
        <v>64</v>
      </c>
      <c r="H742" s="4">
        <v>36526</v>
      </c>
      <c r="I742" t="s">
        <v>16</v>
      </c>
      <c r="J742" t="s">
        <v>17</v>
      </c>
      <c r="K742" s="4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21</v>
      </c>
      <c r="E743" s="5">
        <v>249780.82</v>
      </c>
      <c r="F743" s="4">
        <v>68041</v>
      </c>
      <c r="G743" s="4">
        <v>6464</v>
      </c>
      <c r="H743" s="4">
        <v>0</v>
      </c>
      <c r="I743" t="s">
        <v>16</v>
      </c>
      <c r="J743" t="s">
        <v>24</v>
      </c>
      <c r="K743" s="4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5">
        <v>542613.62</v>
      </c>
      <c r="F744" s="4">
        <v>0</v>
      </c>
      <c r="G744" s="4">
        <v>71</v>
      </c>
      <c r="H744" s="4">
        <v>0</v>
      </c>
      <c r="I744" t="s">
        <v>28</v>
      </c>
      <c r="J744" t="s">
        <v>17</v>
      </c>
      <c r="K744" s="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5">
        <v>799814.38</v>
      </c>
      <c r="F745" s="4">
        <v>29066</v>
      </c>
      <c r="G745" s="4">
        <v>100</v>
      </c>
      <c r="H745" s="4">
        <v>0</v>
      </c>
      <c r="I745" t="s">
        <v>16</v>
      </c>
      <c r="J745" t="s">
        <v>29</v>
      </c>
      <c r="K745" s="4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5">
        <v>289762.07</v>
      </c>
      <c r="F746" s="4">
        <v>54337</v>
      </c>
      <c r="G746" s="4">
        <v>72</v>
      </c>
      <c r="H746" s="4">
        <v>0</v>
      </c>
      <c r="I746" t="s">
        <v>16</v>
      </c>
      <c r="J746" t="s">
        <v>17</v>
      </c>
      <c r="K746" s="4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5">
        <v>1159950.22</v>
      </c>
      <c r="F747" s="4">
        <v>67616</v>
      </c>
      <c r="G747" s="4">
        <v>96</v>
      </c>
      <c r="H747" s="4">
        <v>0</v>
      </c>
      <c r="I747" t="s">
        <v>16</v>
      </c>
      <c r="J747" t="s">
        <v>17</v>
      </c>
      <c r="K747" s="4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5">
        <v>1514793.06</v>
      </c>
      <c r="F748" s="4">
        <v>41082</v>
      </c>
      <c r="G748" s="4">
        <v>63</v>
      </c>
      <c r="H748" s="4">
        <v>0</v>
      </c>
      <c r="I748" t="s">
        <v>16</v>
      </c>
      <c r="J748" t="s">
        <v>24</v>
      </c>
      <c r="K748" s="4">
        <v>106.647493</v>
      </c>
      <c r="L748" s="2">
        <v>35106.647492999997</v>
      </c>
    </row>
    <row r="749" spans="1:12" x14ac:dyDescent="0.35">
      <c r="A749" t="s">
        <v>788</v>
      </c>
      <c r="B749" t="s">
        <v>13</v>
      </c>
      <c r="C749" t="s">
        <v>20</v>
      </c>
      <c r="D749" t="s">
        <v>31</v>
      </c>
      <c r="E749" s="5">
        <v>543576.78</v>
      </c>
      <c r="F749" s="4">
        <v>0</v>
      </c>
      <c r="G749" s="4">
        <v>10202</v>
      </c>
      <c r="H749" s="4">
        <v>0</v>
      </c>
      <c r="I749" t="s">
        <v>16</v>
      </c>
      <c r="J749" t="s">
        <v>17</v>
      </c>
      <c r="K749" s="4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5">
        <v>272535.64</v>
      </c>
      <c r="F750" s="4">
        <v>36650</v>
      </c>
      <c r="G750" s="4">
        <v>69</v>
      </c>
      <c r="H750" s="4">
        <v>36526</v>
      </c>
      <c r="I750" t="s">
        <v>16</v>
      </c>
      <c r="J750" t="s">
        <v>17</v>
      </c>
      <c r="K750" s="4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5">
        <v>1329771.23</v>
      </c>
      <c r="F751" s="4">
        <v>50631</v>
      </c>
      <c r="G751" s="4">
        <v>112</v>
      </c>
      <c r="H751" s="4">
        <v>36617</v>
      </c>
      <c r="I751" t="s">
        <v>39</v>
      </c>
      <c r="J751" t="s">
        <v>29</v>
      </c>
      <c r="K751" s="4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 s="4">
        <v>19592</v>
      </c>
      <c r="G752" s="4">
        <v>92</v>
      </c>
      <c r="H752" s="4">
        <v>0</v>
      </c>
      <c r="I752" t="s">
        <v>16</v>
      </c>
      <c r="J752" t="s">
        <v>17</v>
      </c>
      <c r="K752" s="4">
        <v>441.6</v>
      </c>
      <c r="L752" s="2">
        <v>35441.599999999999</v>
      </c>
    </row>
    <row r="753" spans="1:12" x14ac:dyDescent="0.35">
      <c r="A753" t="s">
        <v>792</v>
      </c>
      <c r="B753" t="s">
        <v>13</v>
      </c>
      <c r="C753" t="s">
        <v>20</v>
      </c>
      <c r="D753" t="s">
        <v>31</v>
      </c>
      <c r="E753" s="5">
        <v>1777154.9</v>
      </c>
      <c r="F753" s="4">
        <v>0</v>
      </c>
      <c r="G753" s="4">
        <v>114</v>
      </c>
      <c r="H753" s="4">
        <v>0</v>
      </c>
      <c r="I753" t="s">
        <v>16</v>
      </c>
      <c r="J753" t="s">
        <v>24</v>
      </c>
      <c r="K753" s="4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5">
        <v>1826927.02</v>
      </c>
      <c r="F754" s="4">
        <v>55761</v>
      </c>
      <c r="G754" s="4">
        <v>115</v>
      </c>
      <c r="H754" s="4">
        <v>0</v>
      </c>
      <c r="I754" t="s">
        <v>16</v>
      </c>
      <c r="J754" t="s">
        <v>78</v>
      </c>
      <c r="K754" s="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5">
        <v>272221.07</v>
      </c>
      <c r="F755" s="4">
        <v>17576</v>
      </c>
      <c r="G755" s="4">
        <v>71</v>
      </c>
      <c r="H755" s="4">
        <v>0</v>
      </c>
      <c r="I755" t="s">
        <v>39</v>
      </c>
      <c r="J755" t="s">
        <v>17</v>
      </c>
      <c r="K755" s="4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5">
        <v>708321.24</v>
      </c>
      <c r="F756" s="4">
        <v>41449</v>
      </c>
      <c r="G756" s="4">
        <v>89</v>
      </c>
      <c r="H756" s="4">
        <v>0</v>
      </c>
      <c r="I756" t="s">
        <v>16</v>
      </c>
      <c r="J756" t="s">
        <v>17</v>
      </c>
      <c r="K756" s="4">
        <v>63.516571999999996</v>
      </c>
      <c r="L756" s="2">
        <v>35063.516572</v>
      </c>
    </row>
    <row r="757" spans="1:12" x14ac:dyDescent="0.35">
      <c r="A757" t="s">
        <v>796</v>
      </c>
      <c r="B757" t="s">
        <v>26</v>
      </c>
      <c r="C757" t="s">
        <v>20</v>
      </c>
      <c r="D757" t="s">
        <v>21</v>
      </c>
      <c r="E757" s="5">
        <v>1017971.7</v>
      </c>
      <c r="F757" s="4">
        <v>14290</v>
      </c>
      <c r="G757" s="4">
        <v>271</v>
      </c>
      <c r="H757" s="4">
        <v>0</v>
      </c>
      <c r="I757" t="s">
        <v>16</v>
      </c>
      <c r="J757" t="s">
        <v>65</v>
      </c>
      <c r="K757" s="4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5">
        <v>588950.91</v>
      </c>
      <c r="F758" s="4">
        <v>62007</v>
      </c>
      <c r="G758" s="4">
        <v>73</v>
      </c>
      <c r="H758" s="4">
        <v>0</v>
      </c>
      <c r="I758" t="s">
        <v>16</v>
      </c>
      <c r="J758" t="s">
        <v>17</v>
      </c>
      <c r="K758" s="4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5">
        <v>1577139.34</v>
      </c>
      <c r="F759" s="4">
        <v>21921</v>
      </c>
      <c r="G759" s="4">
        <v>206</v>
      </c>
      <c r="H759" s="4">
        <v>0</v>
      </c>
      <c r="I759" t="s">
        <v>28</v>
      </c>
      <c r="J759" t="s">
        <v>65</v>
      </c>
      <c r="K759" s="4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5">
        <v>528817.32999999996</v>
      </c>
      <c r="F760" s="4">
        <v>42621</v>
      </c>
      <c r="G760" s="4">
        <v>66</v>
      </c>
      <c r="H760" s="4">
        <v>0</v>
      </c>
      <c r="I760" t="s">
        <v>16</v>
      </c>
      <c r="J760" t="s">
        <v>17</v>
      </c>
      <c r="K760" s="4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 s="4">
        <v>0</v>
      </c>
      <c r="G761" s="4">
        <v>87</v>
      </c>
      <c r="H761" s="4">
        <v>36526</v>
      </c>
      <c r="I761" t="s">
        <v>16</v>
      </c>
      <c r="J761" t="s">
        <v>17</v>
      </c>
      <c r="K761" s="4">
        <v>417.6</v>
      </c>
      <c r="L761" s="2">
        <v>35417.599999999999</v>
      </c>
    </row>
    <row r="762" spans="1:12" x14ac:dyDescent="0.35">
      <c r="A762" t="s">
        <v>801</v>
      </c>
      <c r="B762" t="s">
        <v>13</v>
      </c>
      <c r="C762" t="s">
        <v>27</v>
      </c>
      <c r="D762" t="s">
        <v>31</v>
      </c>
      <c r="E762" s="5">
        <v>777853.23</v>
      </c>
      <c r="F762" s="4">
        <v>63786</v>
      </c>
      <c r="G762" s="4">
        <v>196</v>
      </c>
      <c r="H762" s="4">
        <v>0</v>
      </c>
      <c r="I762" t="s">
        <v>28</v>
      </c>
      <c r="J762" t="s">
        <v>65</v>
      </c>
      <c r="K762" s="4">
        <v>798.00268900000003</v>
      </c>
      <c r="L762" s="2">
        <v>35798.002689000001</v>
      </c>
    </row>
    <row r="763" spans="1:12" x14ac:dyDescent="0.35">
      <c r="A763" t="s">
        <v>802</v>
      </c>
      <c r="B763" t="s">
        <v>26</v>
      </c>
      <c r="C763" t="s">
        <v>20</v>
      </c>
      <c r="D763" t="s">
        <v>31</v>
      </c>
      <c r="E763" s="5">
        <v>734186.13</v>
      </c>
      <c r="F763" s="4">
        <v>0</v>
      </c>
      <c r="G763" s="4">
        <v>104</v>
      </c>
      <c r="H763" s="4">
        <v>36586</v>
      </c>
      <c r="I763" t="s">
        <v>16</v>
      </c>
      <c r="J763" t="s">
        <v>78</v>
      </c>
      <c r="K763" s="4">
        <v>82.041684000000004</v>
      </c>
      <c r="L763" s="2">
        <v>35082.041684000003</v>
      </c>
    </row>
    <row r="764" spans="1:12" x14ac:dyDescent="0.35">
      <c r="A764" t="s">
        <v>803</v>
      </c>
      <c r="B764" t="s">
        <v>26</v>
      </c>
      <c r="C764" t="s">
        <v>20</v>
      </c>
      <c r="D764" t="s">
        <v>31</v>
      </c>
      <c r="E764" s="5">
        <v>791919.7</v>
      </c>
      <c r="F764" s="4">
        <v>82877</v>
      </c>
      <c r="G764" s="4">
        <v>99</v>
      </c>
      <c r="H764" s="4">
        <v>36526</v>
      </c>
      <c r="I764" t="s">
        <v>16</v>
      </c>
      <c r="J764" t="s">
        <v>24</v>
      </c>
      <c r="K764" s="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5">
        <v>216387.02</v>
      </c>
      <c r="F765" s="4">
        <v>0</v>
      </c>
      <c r="G765" s="4">
        <v>63</v>
      </c>
      <c r="H765" s="4">
        <v>0</v>
      </c>
      <c r="I765" t="s">
        <v>28</v>
      </c>
      <c r="J765" t="s">
        <v>24</v>
      </c>
      <c r="K765" s="4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 s="4">
        <v>10475</v>
      </c>
      <c r="G766" s="4">
        <v>88</v>
      </c>
      <c r="H766" s="4">
        <v>36526</v>
      </c>
      <c r="I766" t="s">
        <v>16</v>
      </c>
      <c r="J766" t="s">
        <v>24</v>
      </c>
      <c r="K766" s="4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5">
        <v>520764.08</v>
      </c>
      <c r="F767" s="4">
        <v>21952</v>
      </c>
      <c r="G767" s="4">
        <v>66</v>
      </c>
      <c r="H767" s="4">
        <v>0</v>
      </c>
      <c r="I767" t="s">
        <v>16</v>
      </c>
      <c r="J767" t="s">
        <v>17</v>
      </c>
      <c r="K767" s="4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5">
        <v>2114727.7200000002</v>
      </c>
      <c r="F768" s="4">
        <v>49721</v>
      </c>
      <c r="G768" s="4">
        <v>132</v>
      </c>
      <c r="H768" s="4">
        <v>0</v>
      </c>
      <c r="I768" t="s">
        <v>28</v>
      </c>
      <c r="J768" t="s">
        <v>78</v>
      </c>
      <c r="K768" s="4">
        <v>639.97138800000005</v>
      </c>
      <c r="L768" s="2">
        <v>35639.971387999998</v>
      </c>
    </row>
    <row r="769" spans="1:12" x14ac:dyDescent="0.35">
      <c r="A769" t="s">
        <v>808</v>
      </c>
      <c r="B769" t="s">
        <v>26</v>
      </c>
      <c r="C769" t="s">
        <v>27</v>
      </c>
      <c r="D769" t="s">
        <v>35</v>
      </c>
      <c r="E769" s="5">
        <v>1228076.6599999999</v>
      </c>
      <c r="F769" s="4">
        <v>88340</v>
      </c>
      <c r="G769" s="4">
        <v>102</v>
      </c>
      <c r="H769" s="4">
        <v>0</v>
      </c>
      <c r="I769" t="s">
        <v>16</v>
      </c>
      <c r="J769" t="s">
        <v>24</v>
      </c>
      <c r="K769" s="4">
        <v>489.6</v>
      </c>
      <c r="L769" s="2">
        <v>35489.599999999999</v>
      </c>
    </row>
    <row r="770" spans="1:12" x14ac:dyDescent="0.35">
      <c r="A770" t="s">
        <v>809</v>
      </c>
      <c r="B770" t="s">
        <v>26</v>
      </c>
      <c r="C770" t="s">
        <v>20</v>
      </c>
      <c r="D770" t="s">
        <v>35</v>
      </c>
      <c r="E770" s="5">
        <v>244139.42</v>
      </c>
      <c r="F770" s="4">
        <v>0</v>
      </c>
      <c r="G770" s="4">
        <v>65</v>
      </c>
      <c r="H770" s="4">
        <v>0</v>
      </c>
      <c r="I770" t="s">
        <v>16</v>
      </c>
      <c r="J770" t="s">
        <v>17</v>
      </c>
      <c r="K770" s="4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5">
        <v>653556.06000000006</v>
      </c>
      <c r="F771" s="4">
        <v>0</v>
      </c>
      <c r="G771" s="4">
        <v>65</v>
      </c>
      <c r="H771" s="4">
        <v>0</v>
      </c>
      <c r="I771" t="s">
        <v>28</v>
      </c>
      <c r="J771" t="s">
        <v>17</v>
      </c>
      <c r="K771" s="4">
        <v>468</v>
      </c>
      <c r="L771" s="2">
        <v>35468</v>
      </c>
    </row>
    <row r="772" spans="1:12" x14ac:dyDescent="0.35">
      <c r="A772" t="s">
        <v>811</v>
      </c>
      <c r="B772" t="s">
        <v>13</v>
      </c>
      <c r="C772" t="s">
        <v>20</v>
      </c>
      <c r="D772" t="s">
        <v>35</v>
      </c>
      <c r="E772" s="5">
        <v>920659.83</v>
      </c>
      <c r="F772" s="4">
        <v>24589</v>
      </c>
      <c r="G772" s="4">
        <v>82</v>
      </c>
      <c r="H772" s="4">
        <v>0</v>
      </c>
      <c r="I772" t="s">
        <v>16</v>
      </c>
      <c r="J772" t="s">
        <v>24</v>
      </c>
      <c r="K772" s="4">
        <v>511.497882</v>
      </c>
      <c r="L772" s="2">
        <v>35511.497882000003</v>
      </c>
    </row>
    <row r="773" spans="1:12" x14ac:dyDescent="0.35">
      <c r="A773" t="s">
        <v>812</v>
      </c>
      <c r="B773" t="s">
        <v>26</v>
      </c>
      <c r="C773" t="s">
        <v>20</v>
      </c>
      <c r="D773" t="s">
        <v>21</v>
      </c>
      <c r="E773" s="5">
        <v>411858.86</v>
      </c>
      <c r="F773" s="4">
        <v>69379</v>
      </c>
      <c r="G773" s="4">
        <v>103</v>
      </c>
      <c r="H773" s="4">
        <v>0</v>
      </c>
      <c r="I773" t="s">
        <v>16</v>
      </c>
      <c r="J773" t="s">
        <v>24</v>
      </c>
      <c r="K773" s="4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5">
        <v>483820.9</v>
      </c>
      <c r="F774" s="4">
        <v>73769</v>
      </c>
      <c r="G774" s="4">
        <v>61</v>
      </c>
      <c r="H774" s="4">
        <v>36557</v>
      </c>
      <c r="I774" t="s">
        <v>16</v>
      </c>
      <c r="J774" t="s">
        <v>17</v>
      </c>
      <c r="K774" s="4">
        <v>239.540223</v>
      </c>
      <c r="L774" s="2">
        <v>35239.540223000004</v>
      </c>
    </row>
    <row r="775" spans="1:12" x14ac:dyDescent="0.35">
      <c r="A775" t="s">
        <v>814</v>
      </c>
      <c r="B775" t="s">
        <v>26</v>
      </c>
      <c r="C775" t="s">
        <v>20</v>
      </c>
      <c r="D775" t="s">
        <v>35</v>
      </c>
      <c r="E775" s="5">
        <v>462554.81</v>
      </c>
      <c r="F775" s="4">
        <v>66670</v>
      </c>
      <c r="G775" s="4">
        <v>114</v>
      </c>
      <c r="H775" s="4">
        <v>0</v>
      </c>
      <c r="I775" t="s">
        <v>16</v>
      </c>
      <c r="J775" t="s">
        <v>29</v>
      </c>
      <c r="K775" s="4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5">
        <v>1404210.3</v>
      </c>
      <c r="F776" s="4">
        <v>88854</v>
      </c>
      <c r="G776" s="4">
        <v>118</v>
      </c>
      <c r="H776" s="4">
        <v>0</v>
      </c>
      <c r="I776" t="s">
        <v>16</v>
      </c>
      <c r="J776" t="s">
        <v>24</v>
      </c>
      <c r="K776" s="4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5">
        <v>754661.35</v>
      </c>
      <c r="F777" s="4">
        <v>31266</v>
      </c>
      <c r="G777" s="4">
        <v>193</v>
      </c>
      <c r="H777" s="4">
        <v>0</v>
      </c>
      <c r="I777" t="s">
        <v>28</v>
      </c>
      <c r="J777" t="s">
        <v>117</v>
      </c>
      <c r="K777" s="4">
        <v>926.4</v>
      </c>
      <c r="L777" s="2">
        <v>35926.400000000001</v>
      </c>
    </row>
    <row r="778" spans="1:12" x14ac:dyDescent="0.35">
      <c r="A778" t="s">
        <v>817</v>
      </c>
      <c r="B778" t="s">
        <v>26</v>
      </c>
      <c r="C778" t="s">
        <v>20</v>
      </c>
      <c r="D778" t="s">
        <v>31</v>
      </c>
      <c r="E778" s="5">
        <v>251459.20000000001</v>
      </c>
      <c r="F778" s="4">
        <v>43860</v>
      </c>
      <c r="G778" s="4">
        <v>65</v>
      </c>
      <c r="H778" s="4">
        <v>0</v>
      </c>
      <c r="I778" t="s">
        <v>16</v>
      </c>
      <c r="J778" t="s">
        <v>17</v>
      </c>
      <c r="K778" s="4">
        <v>156.12491399999999</v>
      </c>
      <c r="L778" s="2">
        <v>35156.124914</v>
      </c>
    </row>
    <row r="779" spans="1:12" x14ac:dyDescent="0.35">
      <c r="A779" t="s">
        <v>818</v>
      </c>
      <c r="B779" t="s">
        <v>26</v>
      </c>
      <c r="C779" t="s">
        <v>27</v>
      </c>
      <c r="D779" t="s">
        <v>21</v>
      </c>
      <c r="E779" s="5">
        <v>517035.84</v>
      </c>
      <c r="F779" s="4">
        <v>89284</v>
      </c>
      <c r="G779" s="4">
        <v>133</v>
      </c>
      <c r="H779" s="4">
        <v>36557</v>
      </c>
      <c r="I779" t="s">
        <v>28</v>
      </c>
      <c r="J779" t="s">
        <v>29</v>
      </c>
      <c r="K779" s="4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 s="4">
        <v>67267</v>
      </c>
      <c r="G780" s="4">
        <v>89</v>
      </c>
      <c r="H780" s="4">
        <v>0</v>
      </c>
      <c r="I780" t="s">
        <v>28</v>
      </c>
      <c r="J780" t="s">
        <v>17</v>
      </c>
      <c r="K780" s="4">
        <v>94.814031999999997</v>
      </c>
      <c r="L780" s="2">
        <v>35094.814032000002</v>
      </c>
    </row>
    <row r="781" spans="1:12" x14ac:dyDescent="0.35">
      <c r="A781" t="s">
        <v>820</v>
      </c>
      <c r="B781" t="s">
        <v>26</v>
      </c>
      <c r="C781" t="s">
        <v>20</v>
      </c>
      <c r="D781" t="s">
        <v>31</v>
      </c>
      <c r="E781" s="5">
        <v>1131813.08</v>
      </c>
      <c r="F781" s="4">
        <v>79270</v>
      </c>
      <c r="G781" s="4">
        <v>95</v>
      </c>
      <c r="H781" s="4">
        <v>36586</v>
      </c>
      <c r="I781" t="s">
        <v>16</v>
      </c>
      <c r="J781" t="s">
        <v>17</v>
      </c>
      <c r="K781" s="4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5">
        <v>427636.36</v>
      </c>
      <c r="F782" s="4">
        <v>36692</v>
      </c>
      <c r="G782" s="4">
        <v>109</v>
      </c>
      <c r="H782" s="4">
        <v>36526</v>
      </c>
      <c r="I782" t="s">
        <v>16</v>
      </c>
      <c r="J782" t="s">
        <v>17</v>
      </c>
      <c r="K782" s="4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5">
        <v>432224.03</v>
      </c>
      <c r="F783" s="4">
        <v>0</v>
      </c>
      <c r="G783" s="4">
        <v>119</v>
      </c>
      <c r="H783" s="4">
        <v>0</v>
      </c>
      <c r="I783" t="s">
        <v>16</v>
      </c>
      <c r="J783" t="s">
        <v>29</v>
      </c>
      <c r="K783" s="4">
        <v>571.20000000000005</v>
      </c>
      <c r="L783" s="2">
        <v>35571.199999999997</v>
      </c>
    </row>
    <row r="784" spans="1:12" x14ac:dyDescent="0.35">
      <c r="A784" t="s">
        <v>823</v>
      </c>
      <c r="B784" t="s">
        <v>26</v>
      </c>
      <c r="C784" t="s">
        <v>20</v>
      </c>
      <c r="D784" t="s">
        <v>35</v>
      </c>
      <c r="E784" s="5">
        <v>800230.83</v>
      </c>
      <c r="F784" s="4">
        <v>0</v>
      </c>
      <c r="G784" s="4">
        <v>107</v>
      </c>
      <c r="H784" s="4">
        <v>0</v>
      </c>
      <c r="I784" t="s">
        <v>28</v>
      </c>
      <c r="J784" t="s">
        <v>29</v>
      </c>
      <c r="K784" s="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 s="4">
        <v>0</v>
      </c>
      <c r="G785" s="4">
        <v>105</v>
      </c>
      <c r="H785" s="4">
        <v>0</v>
      </c>
      <c r="I785" t="s">
        <v>28</v>
      </c>
      <c r="J785" t="s">
        <v>17</v>
      </c>
      <c r="K785" s="4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 s="4">
        <v>0</v>
      </c>
      <c r="G786" s="4">
        <v>135</v>
      </c>
      <c r="H786" s="4">
        <v>0</v>
      </c>
      <c r="I786" t="s">
        <v>16</v>
      </c>
      <c r="J786" t="s">
        <v>29</v>
      </c>
      <c r="K786" s="4">
        <v>972</v>
      </c>
      <c r="L786" s="2">
        <v>35972</v>
      </c>
    </row>
    <row r="787" spans="1:12" x14ac:dyDescent="0.35">
      <c r="A787" t="s">
        <v>826</v>
      </c>
      <c r="B787" t="s">
        <v>26</v>
      </c>
      <c r="C787" t="s">
        <v>20</v>
      </c>
      <c r="D787" t="s">
        <v>31</v>
      </c>
      <c r="E787" s="5">
        <v>849635.28</v>
      </c>
      <c r="F787" s="4">
        <v>44624</v>
      </c>
      <c r="G787" s="4">
        <v>71</v>
      </c>
      <c r="H787" s="4">
        <v>36526</v>
      </c>
      <c r="I787" t="s">
        <v>39</v>
      </c>
      <c r="J787" t="s">
        <v>17</v>
      </c>
      <c r="K787" s="4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5">
        <v>2250088.35</v>
      </c>
      <c r="F788" s="4">
        <v>0</v>
      </c>
      <c r="G788" s="4">
        <v>71</v>
      </c>
      <c r="H788" s="4">
        <v>0</v>
      </c>
      <c r="I788" t="s">
        <v>28</v>
      </c>
      <c r="J788" t="s">
        <v>17</v>
      </c>
      <c r="K788" s="4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5">
        <v>1630196.76</v>
      </c>
      <c r="F789" s="4">
        <v>19614</v>
      </c>
      <c r="G789" s="4">
        <v>85</v>
      </c>
      <c r="H789" s="4">
        <v>0</v>
      </c>
      <c r="I789" t="s">
        <v>16</v>
      </c>
      <c r="J789" t="s">
        <v>24</v>
      </c>
      <c r="K789" s="4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5">
        <v>231973.59</v>
      </c>
      <c r="F790" s="4">
        <v>0</v>
      </c>
      <c r="G790" s="4">
        <v>64</v>
      </c>
      <c r="H790" s="4">
        <v>0</v>
      </c>
      <c r="I790" t="s">
        <v>16</v>
      </c>
      <c r="J790" t="s">
        <v>17</v>
      </c>
      <c r="K790" s="4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5">
        <v>871704.98</v>
      </c>
      <c r="F791" s="4">
        <v>83846</v>
      </c>
      <c r="G791" s="4">
        <v>74</v>
      </c>
      <c r="H791" s="4">
        <v>36586</v>
      </c>
      <c r="I791" t="s">
        <v>39</v>
      </c>
      <c r="J791" t="s">
        <v>17</v>
      </c>
      <c r="K791" s="4">
        <v>355.2</v>
      </c>
      <c r="L791" s="2">
        <v>35355.199999999997</v>
      </c>
    </row>
    <row r="792" spans="1:12" x14ac:dyDescent="0.35">
      <c r="A792" t="s">
        <v>831</v>
      </c>
      <c r="B792" t="s">
        <v>13</v>
      </c>
      <c r="C792" t="s">
        <v>27</v>
      </c>
      <c r="D792" t="s">
        <v>35</v>
      </c>
      <c r="E792" s="5">
        <v>286011.17</v>
      </c>
      <c r="F792" s="4">
        <v>51159</v>
      </c>
      <c r="G792" s="4">
        <v>72</v>
      </c>
      <c r="H792" s="4">
        <v>0</v>
      </c>
      <c r="I792" t="s">
        <v>16</v>
      </c>
      <c r="J792" t="s">
        <v>17</v>
      </c>
      <c r="K792" s="4">
        <v>4.238626</v>
      </c>
      <c r="L792" s="2">
        <v>35004.238625999998</v>
      </c>
    </row>
    <row r="793" spans="1:12" x14ac:dyDescent="0.35">
      <c r="A793" t="s">
        <v>832</v>
      </c>
      <c r="B793" t="s">
        <v>26</v>
      </c>
      <c r="C793" t="s">
        <v>27</v>
      </c>
      <c r="D793" t="s">
        <v>35</v>
      </c>
      <c r="E793" s="5">
        <v>245340.83</v>
      </c>
      <c r="F793" s="4">
        <v>83772</v>
      </c>
      <c r="G793" s="4">
        <v>62</v>
      </c>
      <c r="H793" s="4">
        <v>0</v>
      </c>
      <c r="I793" t="s">
        <v>16</v>
      </c>
      <c r="J793" t="s">
        <v>24</v>
      </c>
      <c r="K793" s="4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5">
        <v>598977.39</v>
      </c>
      <c r="F794" s="4">
        <v>66839</v>
      </c>
      <c r="G794" s="4">
        <v>154</v>
      </c>
      <c r="H794" s="4">
        <v>0</v>
      </c>
      <c r="I794" t="s">
        <v>16</v>
      </c>
      <c r="J794" t="s">
        <v>78</v>
      </c>
      <c r="K794" s="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5">
        <v>2498022.5499999998</v>
      </c>
      <c r="F795" s="4">
        <v>88440</v>
      </c>
      <c r="G795" s="4">
        <v>70</v>
      </c>
      <c r="H795" s="4">
        <v>0</v>
      </c>
      <c r="I795" t="s">
        <v>16</v>
      </c>
      <c r="J795" t="s">
        <v>24</v>
      </c>
      <c r="K795" s="4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5">
        <v>748263.95</v>
      </c>
      <c r="F796" s="4">
        <v>25666</v>
      </c>
      <c r="G796" s="4">
        <v>63</v>
      </c>
      <c r="H796" s="4">
        <v>36557</v>
      </c>
      <c r="I796" t="s">
        <v>16</v>
      </c>
      <c r="J796" t="s">
        <v>17</v>
      </c>
      <c r="K796" s="4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5">
        <v>245757.6</v>
      </c>
      <c r="F797" s="4">
        <v>52926</v>
      </c>
      <c r="G797" s="4">
        <v>61</v>
      </c>
      <c r="H797" s="4">
        <v>0</v>
      </c>
      <c r="I797" t="s">
        <v>16</v>
      </c>
      <c r="J797" t="s">
        <v>17</v>
      </c>
      <c r="K797" s="4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5">
        <v>237974.12</v>
      </c>
      <c r="F798" s="4">
        <v>0</v>
      </c>
      <c r="G798" s="4">
        <v>67</v>
      </c>
      <c r="H798" s="4">
        <v>0</v>
      </c>
      <c r="I798" t="s">
        <v>16</v>
      </c>
      <c r="J798" t="s">
        <v>17</v>
      </c>
      <c r="K798" s="4">
        <v>494.946438</v>
      </c>
      <c r="L798" s="2">
        <v>35494.946437999999</v>
      </c>
    </row>
    <row r="799" spans="1:12" x14ac:dyDescent="0.35">
      <c r="A799" t="s">
        <v>838</v>
      </c>
      <c r="B799" t="s">
        <v>13</v>
      </c>
      <c r="C799" t="s">
        <v>20</v>
      </c>
      <c r="D799" t="s">
        <v>21</v>
      </c>
      <c r="E799" s="5">
        <v>828696.44</v>
      </c>
      <c r="F799" s="4">
        <v>40001</v>
      </c>
      <c r="G799" s="4">
        <v>70</v>
      </c>
      <c r="H799" s="4">
        <v>0</v>
      </c>
      <c r="I799" t="s">
        <v>16</v>
      </c>
      <c r="J799" t="s">
        <v>17</v>
      </c>
      <c r="K799" s="4">
        <v>142.56700799999999</v>
      </c>
      <c r="L799" s="2">
        <v>35142.567007999998</v>
      </c>
    </row>
    <row r="800" spans="1:12" x14ac:dyDescent="0.35">
      <c r="A800" t="s">
        <v>839</v>
      </c>
      <c r="B800" t="s">
        <v>26</v>
      </c>
      <c r="C800" t="s">
        <v>27</v>
      </c>
      <c r="D800" t="s">
        <v>35</v>
      </c>
      <c r="E800" s="5">
        <v>239391.54</v>
      </c>
      <c r="F800" s="4">
        <v>0</v>
      </c>
      <c r="G800" s="4">
        <v>70</v>
      </c>
      <c r="H800" s="4">
        <v>0</v>
      </c>
      <c r="I800" t="s">
        <v>16</v>
      </c>
      <c r="J800" t="s">
        <v>17</v>
      </c>
      <c r="K800" s="4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 s="4">
        <v>18024</v>
      </c>
      <c r="G801" s="4">
        <v>65</v>
      </c>
      <c r="H801" s="4">
        <v>0</v>
      </c>
      <c r="I801" t="s">
        <v>16</v>
      </c>
      <c r="J801" t="s">
        <v>24</v>
      </c>
      <c r="K801" s="4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5">
        <v>1319792.8899999999</v>
      </c>
      <c r="F802" s="4">
        <v>0</v>
      </c>
      <c r="G802" s="4">
        <v>68</v>
      </c>
      <c r="H802" s="4">
        <v>36586</v>
      </c>
      <c r="I802" t="s">
        <v>16</v>
      </c>
      <c r="J802" t="s">
        <v>17</v>
      </c>
      <c r="K802" s="4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5">
        <v>280391.67</v>
      </c>
      <c r="F803" s="4">
        <v>23220</v>
      </c>
      <c r="G803" s="4">
        <v>74</v>
      </c>
      <c r="H803" s="4">
        <v>0</v>
      </c>
      <c r="I803" t="s">
        <v>16</v>
      </c>
      <c r="J803" t="s">
        <v>17</v>
      </c>
      <c r="K803" s="4">
        <v>251.334247</v>
      </c>
      <c r="L803" s="2">
        <v>35251.334246999999</v>
      </c>
    </row>
    <row r="804" spans="1:12" x14ac:dyDescent="0.35">
      <c r="A804" t="s">
        <v>843</v>
      </c>
      <c r="B804" t="s">
        <v>26</v>
      </c>
      <c r="C804" t="s">
        <v>20</v>
      </c>
      <c r="D804" t="s">
        <v>31</v>
      </c>
      <c r="E804" s="5">
        <v>864650.41</v>
      </c>
      <c r="F804" s="4">
        <v>64125</v>
      </c>
      <c r="G804" s="4">
        <v>108</v>
      </c>
      <c r="H804" s="4">
        <v>0</v>
      </c>
      <c r="I804" t="s">
        <v>16</v>
      </c>
      <c r="J804" t="s">
        <v>29</v>
      </c>
      <c r="K804" s="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5">
        <v>742587.06</v>
      </c>
      <c r="F805" s="4">
        <v>58042</v>
      </c>
      <c r="G805" s="4">
        <v>62</v>
      </c>
      <c r="H805" s="4">
        <v>0</v>
      </c>
      <c r="I805" t="s">
        <v>28</v>
      </c>
      <c r="J805" t="s">
        <v>17</v>
      </c>
      <c r="K805" s="4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5">
        <v>452873.74</v>
      </c>
      <c r="F806" s="4">
        <v>90034</v>
      </c>
      <c r="G806" s="4">
        <v>112</v>
      </c>
      <c r="H806" s="4">
        <v>0</v>
      </c>
      <c r="I806" t="s">
        <v>28</v>
      </c>
      <c r="J806" t="s">
        <v>29</v>
      </c>
      <c r="K806" s="4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 s="4">
        <v>27972</v>
      </c>
      <c r="G807" s="4">
        <v>61</v>
      </c>
      <c r="H807" s="4">
        <v>0</v>
      </c>
      <c r="I807" t="s">
        <v>39</v>
      </c>
      <c r="J807" t="s">
        <v>17</v>
      </c>
      <c r="K807" s="4">
        <v>292.8</v>
      </c>
      <c r="L807" s="2">
        <v>35292.800000000003</v>
      </c>
    </row>
    <row r="808" spans="1:12" x14ac:dyDescent="0.35">
      <c r="A808" t="s">
        <v>847</v>
      </c>
      <c r="B808" t="s">
        <v>26</v>
      </c>
      <c r="C808" t="s">
        <v>20</v>
      </c>
      <c r="D808" t="s">
        <v>31</v>
      </c>
      <c r="E808" s="5">
        <v>729294.88</v>
      </c>
      <c r="F808" s="4">
        <v>0</v>
      </c>
      <c r="G808" s="4">
        <v>65</v>
      </c>
      <c r="H808" s="4">
        <v>0</v>
      </c>
      <c r="I808" t="s">
        <v>16</v>
      </c>
      <c r="J808" t="s">
        <v>17</v>
      </c>
      <c r="K808" s="4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5">
        <v>318435.52</v>
      </c>
      <c r="F809" s="4">
        <v>50989</v>
      </c>
      <c r="G809" s="4">
        <v>80</v>
      </c>
      <c r="H809" s="4">
        <v>0</v>
      </c>
      <c r="I809" t="s">
        <v>28</v>
      </c>
      <c r="J809" t="s">
        <v>17</v>
      </c>
      <c r="K809" s="4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5">
        <v>1131520.3700000001</v>
      </c>
      <c r="F810" s="4">
        <v>11885</v>
      </c>
      <c r="G810" s="4">
        <v>101</v>
      </c>
      <c r="H810" s="4">
        <v>0</v>
      </c>
      <c r="I810" t="s">
        <v>39</v>
      </c>
      <c r="J810" t="s">
        <v>17</v>
      </c>
      <c r="K810" s="4">
        <v>484.8</v>
      </c>
      <c r="L810" s="2">
        <v>35484.800000000003</v>
      </c>
    </row>
    <row r="811" spans="1:12" x14ac:dyDescent="0.35">
      <c r="A811" t="s">
        <v>850</v>
      </c>
      <c r="B811" t="s">
        <v>26</v>
      </c>
      <c r="C811" t="s">
        <v>20</v>
      </c>
      <c r="D811" t="s">
        <v>21</v>
      </c>
      <c r="E811" s="5">
        <v>253070.51</v>
      </c>
      <c r="F811" s="4">
        <v>89451</v>
      </c>
      <c r="G811" s="4">
        <v>63</v>
      </c>
      <c r="H811" s="4">
        <v>0</v>
      </c>
      <c r="I811" t="s">
        <v>39</v>
      </c>
      <c r="J811" t="s">
        <v>17</v>
      </c>
      <c r="K811" s="4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5">
        <v>1836155.53</v>
      </c>
      <c r="F812" s="4">
        <v>0</v>
      </c>
      <c r="G812" s="4">
        <v>182</v>
      </c>
      <c r="H812" s="4">
        <v>0</v>
      </c>
      <c r="I812" t="s">
        <v>16</v>
      </c>
      <c r="J812" t="s">
        <v>117</v>
      </c>
      <c r="K812" s="4">
        <v>1310.4000000000001</v>
      </c>
      <c r="L812" s="2">
        <v>36310.400000000001</v>
      </c>
    </row>
    <row r="813" spans="1:12" x14ac:dyDescent="0.35">
      <c r="A813" t="s">
        <v>852</v>
      </c>
      <c r="B813" t="s">
        <v>13</v>
      </c>
      <c r="C813" t="s">
        <v>27</v>
      </c>
      <c r="D813" t="s">
        <v>21</v>
      </c>
      <c r="E813" s="5">
        <v>864153</v>
      </c>
      <c r="F813" s="4">
        <v>78904</v>
      </c>
      <c r="G813" s="4">
        <v>109</v>
      </c>
      <c r="H813" s="4">
        <v>0</v>
      </c>
      <c r="I813" t="s">
        <v>16</v>
      </c>
      <c r="J813" t="s">
        <v>29</v>
      </c>
      <c r="K813" s="4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5">
        <v>327853.19</v>
      </c>
      <c r="F814" s="4">
        <v>70247</v>
      </c>
      <c r="G814" s="4">
        <v>83</v>
      </c>
      <c r="H814" s="4">
        <v>36526</v>
      </c>
      <c r="I814" t="s">
        <v>16</v>
      </c>
      <c r="J814" t="s">
        <v>17</v>
      </c>
      <c r="K814" s="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5">
        <v>527198.21</v>
      </c>
      <c r="F815" s="4">
        <v>32653</v>
      </c>
      <c r="G815" s="4">
        <v>67</v>
      </c>
      <c r="H815" s="4">
        <v>0</v>
      </c>
      <c r="I815" t="s">
        <v>16</v>
      </c>
      <c r="J815" t="s">
        <v>24</v>
      </c>
      <c r="K815" s="4">
        <v>321.60000000000002</v>
      </c>
      <c r="L815" s="2">
        <v>35321.599999999999</v>
      </c>
    </row>
    <row r="816" spans="1:12" x14ac:dyDescent="0.35">
      <c r="A816" t="s">
        <v>855</v>
      </c>
      <c r="B816" t="s">
        <v>13</v>
      </c>
      <c r="C816" t="s">
        <v>27</v>
      </c>
      <c r="D816" t="s">
        <v>31</v>
      </c>
      <c r="E816" s="5">
        <v>376363.77</v>
      </c>
      <c r="F816" s="4">
        <v>93595</v>
      </c>
      <c r="G816" s="4">
        <v>97</v>
      </c>
      <c r="H816" s="4">
        <v>36617</v>
      </c>
      <c r="I816" t="s">
        <v>39</v>
      </c>
      <c r="J816" t="s">
        <v>17</v>
      </c>
      <c r="K816" s="4">
        <v>49.797015999999999</v>
      </c>
      <c r="L816" s="2">
        <v>35049.797015999997</v>
      </c>
    </row>
    <row r="817" spans="1:12" x14ac:dyDescent="0.35">
      <c r="A817" t="s">
        <v>856</v>
      </c>
      <c r="B817" t="s">
        <v>26</v>
      </c>
      <c r="C817" t="s">
        <v>27</v>
      </c>
      <c r="D817" t="s">
        <v>15</v>
      </c>
      <c r="E817" s="5">
        <v>1395556.96</v>
      </c>
      <c r="F817" s="4">
        <v>90279</v>
      </c>
      <c r="G817" s="4">
        <v>115</v>
      </c>
      <c r="H817" s="4">
        <v>0</v>
      </c>
      <c r="I817" t="s">
        <v>16</v>
      </c>
      <c r="J817" t="s">
        <v>29</v>
      </c>
      <c r="K817" s="4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5">
        <v>500152.75</v>
      </c>
      <c r="F818" s="4">
        <v>0</v>
      </c>
      <c r="G818" s="4">
        <v>72</v>
      </c>
      <c r="H818" s="4">
        <v>0</v>
      </c>
      <c r="I818" t="s">
        <v>16</v>
      </c>
      <c r="J818" t="s">
        <v>17</v>
      </c>
      <c r="K818" s="4">
        <v>542.14385000000004</v>
      </c>
      <c r="L818" s="2">
        <v>35542.14385</v>
      </c>
    </row>
    <row r="819" spans="1:12" x14ac:dyDescent="0.35">
      <c r="A819" t="s">
        <v>858</v>
      </c>
      <c r="B819" t="s">
        <v>26</v>
      </c>
      <c r="C819" t="s">
        <v>27</v>
      </c>
      <c r="D819" t="s">
        <v>21</v>
      </c>
      <c r="E819" s="5">
        <v>708283.04</v>
      </c>
      <c r="F819" s="4">
        <v>53310</v>
      </c>
      <c r="G819" s="4">
        <v>189</v>
      </c>
      <c r="H819" s="4">
        <v>36586</v>
      </c>
      <c r="I819" t="s">
        <v>16</v>
      </c>
      <c r="J819" t="s">
        <v>117</v>
      </c>
      <c r="K819" s="4">
        <v>1360.8</v>
      </c>
      <c r="L819" s="2">
        <v>36360.800000000003</v>
      </c>
    </row>
    <row r="820" spans="1:12" x14ac:dyDescent="0.35">
      <c r="A820" t="s">
        <v>859</v>
      </c>
      <c r="B820" t="s">
        <v>26</v>
      </c>
      <c r="C820" t="s">
        <v>27</v>
      </c>
      <c r="D820" t="s">
        <v>35</v>
      </c>
      <c r="E820" s="5">
        <v>761948.28</v>
      </c>
      <c r="F820" s="4">
        <v>0</v>
      </c>
      <c r="G820" s="4">
        <v>105</v>
      </c>
      <c r="H820" s="4">
        <v>0</v>
      </c>
      <c r="I820" t="s">
        <v>16</v>
      </c>
      <c r="J820" t="s">
        <v>17</v>
      </c>
      <c r="K820" s="4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5">
        <v>1255088.2</v>
      </c>
      <c r="F821" s="4">
        <v>22234</v>
      </c>
      <c r="G821" s="4">
        <v>160</v>
      </c>
      <c r="H821" s="4">
        <v>0</v>
      </c>
      <c r="I821" t="s">
        <v>16</v>
      </c>
      <c r="J821" t="s">
        <v>29</v>
      </c>
      <c r="K821" s="4">
        <v>768</v>
      </c>
      <c r="L821" s="2">
        <v>35768</v>
      </c>
    </row>
    <row r="822" spans="1:12" x14ac:dyDescent="0.35">
      <c r="A822" t="s">
        <v>861</v>
      </c>
      <c r="B822" t="s">
        <v>13</v>
      </c>
      <c r="C822" t="s">
        <v>20</v>
      </c>
      <c r="D822" t="s">
        <v>31</v>
      </c>
      <c r="E822" s="5">
        <v>3219660.04</v>
      </c>
      <c r="F822" s="4">
        <v>91375</v>
      </c>
      <c r="G822" s="4">
        <v>99</v>
      </c>
      <c r="H822" s="4">
        <v>0</v>
      </c>
      <c r="I822" t="s">
        <v>16</v>
      </c>
      <c r="J822" t="s">
        <v>24</v>
      </c>
      <c r="K822" s="4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5">
        <v>679377.41</v>
      </c>
      <c r="F823" s="4">
        <v>22250</v>
      </c>
      <c r="G823" s="4">
        <v>86</v>
      </c>
      <c r="H823" s="4">
        <v>0</v>
      </c>
      <c r="I823" t="s">
        <v>16</v>
      </c>
      <c r="J823" t="s">
        <v>24</v>
      </c>
      <c r="K823" s="4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5">
        <v>527231.97</v>
      </c>
      <c r="F824" s="4">
        <v>0</v>
      </c>
      <c r="G824" s="4">
        <v>80</v>
      </c>
      <c r="H824" s="4">
        <v>0</v>
      </c>
      <c r="I824" t="s">
        <v>16</v>
      </c>
      <c r="J824" t="s">
        <v>17</v>
      </c>
      <c r="K824" s="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5">
        <v>626534.32999999996</v>
      </c>
      <c r="F825" s="4">
        <v>0</v>
      </c>
      <c r="G825" s="4">
        <v>84</v>
      </c>
      <c r="H825" s="4">
        <v>36526</v>
      </c>
      <c r="I825" t="s">
        <v>16</v>
      </c>
      <c r="J825" t="s">
        <v>17</v>
      </c>
      <c r="K825" s="4">
        <v>481.02578599999998</v>
      </c>
      <c r="L825" s="2">
        <v>35481.025785999998</v>
      </c>
    </row>
    <row r="826" spans="1:12" x14ac:dyDescent="0.35">
      <c r="A826" t="s">
        <v>865</v>
      </c>
      <c r="B826" t="s">
        <v>26</v>
      </c>
      <c r="C826" t="s">
        <v>20</v>
      </c>
      <c r="D826" t="s">
        <v>31</v>
      </c>
      <c r="E826" s="5">
        <v>854758.61</v>
      </c>
      <c r="F826" s="4">
        <v>51179</v>
      </c>
      <c r="G826" s="4">
        <v>71</v>
      </c>
      <c r="H826" s="4">
        <v>0</v>
      </c>
      <c r="I826" t="s">
        <v>28</v>
      </c>
      <c r="J826" t="s">
        <v>17</v>
      </c>
      <c r="K826" s="4">
        <v>466.17673100000002</v>
      </c>
      <c r="L826" s="2">
        <v>35466.176731</v>
      </c>
    </row>
    <row r="827" spans="1:12" x14ac:dyDescent="0.35">
      <c r="A827" t="s">
        <v>866</v>
      </c>
      <c r="B827" t="s">
        <v>26</v>
      </c>
      <c r="C827" t="s">
        <v>27</v>
      </c>
      <c r="D827" t="s">
        <v>21</v>
      </c>
      <c r="E827" s="5">
        <v>278742.37</v>
      </c>
      <c r="F827" s="4">
        <v>38667</v>
      </c>
      <c r="G827" s="4">
        <v>72</v>
      </c>
      <c r="H827" s="4">
        <v>0</v>
      </c>
      <c r="I827" t="s">
        <v>16</v>
      </c>
      <c r="J827" t="s">
        <v>17</v>
      </c>
      <c r="K827" s="4">
        <v>159.26647299999999</v>
      </c>
      <c r="L827" s="2">
        <v>35159.266473000003</v>
      </c>
    </row>
    <row r="828" spans="1:12" x14ac:dyDescent="0.35">
      <c r="A828" t="s">
        <v>867</v>
      </c>
      <c r="B828" t="s">
        <v>26</v>
      </c>
      <c r="C828" t="s">
        <v>20</v>
      </c>
      <c r="D828" t="s">
        <v>15</v>
      </c>
      <c r="E828" s="5">
        <v>462680.11</v>
      </c>
      <c r="F828" s="4">
        <v>79487</v>
      </c>
      <c r="G828" s="4">
        <v>114</v>
      </c>
      <c r="H828" s="4">
        <v>0</v>
      </c>
      <c r="I828" t="s">
        <v>28</v>
      </c>
      <c r="J828" t="s">
        <v>29</v>
      </c>
      <c r="K828" s="4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5">
        <v>866336.4</v>
      </c>
      <c r="F829" s="4">
        <v>67763</v>
      </c>
      <c r="G829" s="4">
        <v>107</v>
      </c>
      <c r="H829" s="4">
        <v>36557</v>
      </c>
      <c r="I829" t="s">
        <v>16</v>
      </c>
      <c r="J829" t="s">
        <v>17</v>
      </c>
      <c r="K829" s="4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 s="4">
        <v>0</v>
      </c>
      <c r="G830" s="4">
        <v>62</v>
      </c>
      <c r="H830" s="4">
        <v>36557</v>
      </c>
      <c r="I830" t="s">
        <v>28</v>
      </c>
      <c r="J830" t="s">
        <v>17</v>
      </c>
      <c r="K830" s="4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5">
        <v>517081.15</v>
      </c>
      <c r="F831" s="4">
        <v>0</v>
      </c>
      <c r="G831" s="4">
        <v>71</v>
      </c>
      <c r="H831" s="4">
        <v>0</v>
      </c>
      <c r="I831" t="s">
        <v>28</v>
      </c>
      <c r="J831" t="s">
        <v>17</v>
      </c>
      <c r="K831" s="4">
        <v>859.59941100000003</v>
      </c>
      <c r="L831" s="2">
        <v>35859.599411000003</v>
      </c>
    </row>
    <row r="832" spans="1:12" x14ac:dyDescent="0.35">
      <c r="A832" t="s">
        <v>871</v>
      </c>
      <c r="B832" t="s">
        <v>26</v>
      </c>
      <c r="C832" t="s">
        <v>20</v>
      </c>
      <c r="D832" t="s">
        <v>15</v>
      </c>
      <c r="E832" s="5">
        <v>896028.02</v>
      </c>
      <c r="F832" s="4">
        <v>71943</v>
      </c>
      <c r="G832" s="4">
        <v>112</v>
      </c>
      <c r="H832" s="4">
        <v>0</v>
      </c>
      <c r="I832" t="s">
        <v>28</v>
      </c>
      <c r="J832" t="s">
        <v>29</v>
      </c>
      <c r="K832" s="4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5">
        <v>547183.43000000005</v>
      </c>
      <c r="F833" s="4">
        <v>53526</v>
      </c>
      <c r="G833" s="4">
        <v>68</v>
      </c>
      <c r="H833" s="4">
        <v>0</v>
      </c>
      <c r="I833" t="s">
        <v>16</v>
      </c>
      <c r="J833" t="s">
        <v>17</v>
      </c>
      <c r="K833" s="4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 s="4">
        <v>35005</v>
      </c>
      <c r="G834" s="4">
        <v>295</v>
      </c>
      <c r="H834" s="4">
        <v>0</v>
      </c>
      <c r="I834" t="s">
        <v>16</v>
      </c>
      <c r="J834" t="s">
        <v>117</v>
      </c>
      <c r="K834" s="4">
        <v>1416</v>
      </c>
      <c r="L834" s="2">
        <v>36416</v>
      </c>
    </row>
    <row r="835" spans="1:12" x14ac:dyDescent="0.35">
      <c r="A835" t="s">
        <v>874</v>
      </c>
      <c r="B835" t="s">
        <v>26</v>
      </c>
      <c r="C835" t="s">
        <v>27</v>
      </c>
      <c r="D835" t="s">
        <v>35</v>
      </c>
      <c r="E835" s="5">
        <v>262039.23</v>
      </c>
      <c r="F835" s="4">
        <v>24721</v>
      </c>
      <c r="G835" s="4">
        <v>67</v>
      </c>
      <c r="H835" s="4">
        <v>0</v>
      </c>
      <c r="I835" t="s">
        <v>16</v>
      </c>
      <c r="J835" t="s">
        <v>17</v>
      </c>
      <c r="K835" s="4">
        <v>139.963594</v>
      </c>
      <c r="L835" s="2">
        <v>35139.963594000001</v>
      </c>
    </row>
    <row r="836" spans="1:12" x14ac:dyDescent="0.35">
      <c r="A836" t="s">
        <v>875</v>
      </c>
      <c r="B836" t="s">
        <v>13</v>
      </c>
      <c r="C836" t="s">
        <v>27</v>
      </c>
      <c r="D836" t="s">
        <v>35</v>
      </c>
      <c r="E836" s="5">
        <v>1906949.95</v>
      </c>
      <c r="F836" s="4">
        <v>0</v>
      </c>
      <c r="G836" s="4">
        <v>102</v>
      </c>
      <c r="H836" s="4">
        <v>36557</v>
      </c>
      <c r="I836" t="s">
        <v>16</v>
      </c>
      <c r="J836" t="s">
        <v>17</v>
      </c>
      <c r="K836" s="4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5">
        <v>575744.23</v>
      </c>
      <c r="F837" s="4">
        <v>88997</v>
      </c>
      <c r="G837" s="4">
        <v>72</v>
      </c>
      <c r="H837" s="4">
        <v>0</v>
      </c>
      <c r="I837" t="s">
        <v>16</v>
      </c>
      <c r="J837" t="s">
        <v>17</v>
      </c>
      <c r="K837" s="4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5">
        <v>4022401.36</v>
      </c>
      <c r="F838" s="4">
        <v>48587</v>
      </c>
      <c r="G838" s="4">
        <v>111</v>
      </c>
      <c r="H838" s="4">
        <v>0</v>
      </c>
      <c r="I838" t="s">
        <v>16</v>
      </c>
      <c r="J838" t="s">
        <v>29</v>
      </c>
      <c r="K838" s="4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5">
        <v>270148.83</v>
      </c>
      <c r="F839" s="4">
        <v>76310</v>
      </c>
      <c r="G839" s="4">
        <v>67</v>
      </c>
      <c r="H839" s="4">
        <v>0</v>
      </c>
      <c r="I839" t="s">
        <v>16</v>
      </c>
      <c r="J839" t="s">
        <v>24</v>
      </c>
      <c r="K839" s="4">
        <v>321.60000000000002</v>
      </c>
      <c r="L839" s="2">
        <v>35321.599999999999</v>
      </c>
    </row>
    <row r="840" spans="1:12" x14ac:dyDescent="0.35">
      <c r="A840" t="s">
        <v>879</v>
      </c>
      <c r="B840" t="s">
        <v>26</v>
      </c>
      <c r="C840" t="s">
        <v>27</v>
      </c>
      <c r="D840" t="s">
        <v>21</v>
      </c>
      <c r="E840" s="5">
        <v>371243.05</v>
      </c>
      <c r="F840" s="4">
        <v>73205</v>
      </c>
      <c r="G840" s="4">
        <v>92</v>
      </c>
      <c r="H840" s="4">
        <v>0</v>
      </c>
      <c r="I840" t="s">
        <v>16</v>
      </c>
      <c r="J840" t="s">
        <v>17</v>
      </c>
      <c r="K840" s="4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5">
        <v>2185084</v>
      </c>
      <c r="F841" s="4">
        <v>51056</v>
      </c>
      <c r="G841" s="4">
        <v>78</v>
      </c>
      <c r="H841" s="4">
        <v>0</v>
      </c>
      <c r="I841" t="s">
        <v>16</v>
      </c>
      <c r="J841" t="s">
        <v>17</v>
      </c>
      <c r="K841" s="4">
        <v>95.816515999999993</v>
      </c>
      <c r="L841" s="2">
        <v>35095.816515999999</v>
      </c>
    </row>
    <row r="842" spans="1:12" x14ac:dyDescent="0.35">
      <c r="A842" t="s">
        <v>881</v>
      </c>
      <c r="B842" t="s">
        <v>26</v>
      </c>
      <c r="C842" t="s">
        <v>27</v>
      </c>
      <c r="D842" t="s">
        <v>35</v>
      </c>
      <c r="E842" s="5">
        <v>784016.58</v>
      </c>
      <c r="F842" s="4">
        <v>58414</v>
      </c>
      <c r="G842" s="4">
        <v>210</v>
      </c>
      <c r="H842" s="4">
        <v>36557</v>
      </c>
      <c r="I842" t="s">
        <v>16</v>
      </c>
      <c r="J842" t="s">
        <v>65</v>
      </c>
      <c r="K842" s="4">
        <v>1008</v>
      </c>
      <c r="L842" s="2">
        <v>36008</v>
      </c>
    </row>
    <row r="843" spans="1:12" x14ac:dyDescent="0.35">
      <c r="A843" t="s">
        <v>882</v>
      </c>
      <c r="B843" t="s">
        <v>26</v>
      </c>
      <c r="C843" t="s">
        <v>20</v>
      </c>
      <c r="D843" t="s">
        <v>21</v>
      </c>
      <c r="E843" s="5">
        <v>823703.79</v>
      </c>
      <c r="F843" s="4">
        <v>23940</v>
      </c>
      <c r="G843" s="4">
        <v>107</v>
      </c>
      <c r="H843" s="4">
        <v>0</v>
      </c>
      <c r="I843" t="s">
        <v>16</v>
      </c>
      <c r="J843" t="s">
        <v>29</v>
      </c>
      <c r="K843" s="4">
        <v>513.6</v>
      </c>
      <c r="L843" s="2">
        <v>35513.599999999999</v>
      </c>
    </row>
    <row r="844" spans="1:12" x14ac:dyDescent="0.35">
      <c r="A844" t="s">
        <v>883</v>
      </c>
      <c r="B844" t="s">
        <v>26</v>
      </c>
      <c r="C844" t="s">
        <v>20</v>
      </c>
      <c r="D844" t="s">
        <v>31</v>
      </c>
      <c r="E844" s="5">
        <v>224347.39</v>
      </c>
      <c r="F844" s="4">
        <v>0</v>
      </c>
      <c r="G844" s="4">
        <v>62</v>
      </c>
      <c r="H844" s="4">
        <v>0</v>
      </c>
      <c r="I844" t="s">
        <v>16</v>
      </c>
      <c r="J844" t="s">
        <v>17</v>
      </c>
      <c r="K844" s="4">
        <v>446.4</v>
      </c>
      <c r="L844" s="2">
        <v>35446.400000000001</v>
      </c>
    </row>
    <row r="845" spans="1:12" x14ac:dyDescent="0.35">
      <c r="A845" t="s">
        <v>884</v>
      </c>
      <c r="B845" t="s">
        <v>26</v>
      </c>
      <c r="C845" t="s">
        <v>27</v>
      </c>
      <c r="D845" t="s">
        <v>21</v>
      </c>
      <c r="E845" s="5">
        <v>843446.41</v>
      </c>
      <c r="F845" s="4">
        <v>44216</v>
      </c>
      <c r="G845" s="4">
        <v>71</v>
      </c>
      <c r="H845" s="4">
        <v>0</v>
      </c>
      <c r="I845" t="s">
        <v>16</v>
      </c>
      <c r="J845" t="s">
        <v>17</v>
      </c>
      <c r="K845" s="4">
        <v>72.205361999999994</v>
      </c>
      <c r="L845" s="2">
        <v>35072.205362000001</v>
      </c>
    </row>
    <row r="846" spans="1:12" x14ac:dyDescent="0.35">
      <c r="A846" t="s">
        <v>885</v>
      </c>
      <c r="B846" t="s">
        <v>26</v>
      </c>
      <c r="C846" t="s">
        <v>27</v>
      </c>
      <c r="D846" t="s">
        <v>31</v>
      </c>
      <c r="E846" s="5">
        <v>222707.28</v>
      </c>
      <c r="F846" s="4">
        <v>27972</v>
      </c>
      <c r="G846" s="4">
        <v>61</v>
      </c>
      <c r="H846" s="4">
        <v>0</v>
      </c>
      <c r="I846" t="s">
        <v>28</v>
      </c>
      <c r="J846" t="s">
        <v>17</v>
      </c>
      <c r="K846" s="4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5">
        <v>517002.6</v>
      </c>
      <c r="F847" s="4">
        <v>0</v>
      </c>
      <c r="G847" s="4">
        <v>69</v>
      </c>
      <c r="H847" s="4">
        <v>0</v>
      </c>
      <c r="I847" t="s">
        <v>16</v>
      </c>
      <c r="J847" t="s">
        <v>17</v>
      </c>
      <c r="K847" s="4">
        <v>331.2</v>
      </c>
      <c r="L847" s="2">
        <v>35331.199999999997</v>
      </c>
    </row>
    <row r="848" spans="1:12" x14ac:dyDescent="0.35">
      <c r="A848" t="s">
        <v>887</v>
      </c>
      <c r="B848" t="s">
        <v>26</v>
      </c>
      <c r="C848" t="s">
        <v>20</v>
      </c>
      <c r="D848" t="s">
        <v>15</v>
      </c>
      <c r="E848" s="5">
        <v>264144.61</v>
      </c>
      <c r="F848" s="4">
        <v>29305</v>
      </c>
      <c r="G848" s="4">
        <v>66</v>
      </c>
      <c r="H848" s="4">
        <v>0</v>
      </c>
      <c r="I848" t="s">
        <v>16</v>
      </c>
      <c r="J848" t="s">
        <v>17</v>
      </c>
      <c r="K848" s="4">
        <v>475.2</v>
      </c>
      <c r="L848" s="2">
        <v>35475.199999999997</v>
      </c>
    </row>
    <row r="849" spans="1:12" x14ac:dyDescent="0.35">
      <c r="A849" t="s">
        <v>888</v>
      </c>
      <c r="B849" t="s">
        <v>26</v>
      </c>
      <c r="C849" t="s">
        <v>20</v>
      </c>
      <c r="D849" t="s">
        <v>35</v>
      </c>
      <c r="E849" s="5">
        <v>279068.3</v>
      </c>
      <c r="F849" s="4">
        <v>53882</v>
      </c>
      <c r="G849" s="4">
        <v>69</v>
      </c>
      <c r="H849" s="4">
        <v>0</v>
      </c>
      <c r="I849" t="s">
        <v>16</v>
      </c>
      <c r="J849" t="s">
        <v>17</v>
      </c>
      <c r="K849" s="4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 s="4">
        <v>91757</v>
      </c>
      <c r="G850" s="4">
        <v>69</v>
      </c>
      <c r="H850" s="4">
        <v>36526</v>
      </c>
      <c r="I850" t="s">
        <v>16</v>
      </c>
      <c r="J850" t="s">
        <v>17</v>
      </c>
      <c r="K850" s="4">
        <v>331.2</v>
      </c>
      <c r="L850" s="2">
        <v>35331.199999999997</v>
      </c>
    </row>
    <row r="851" spans="1:12" x14ac:dyDescent="0.35">
      <c r="A851" t="s">
        <v>890</v>
      </c>
      <c r="B851" t="s">
        <v>26</v>
      </c>
      <c r="C851" t="s">
        <v>20</v>
      </c>
      <c r="D851" t="s">
        <v>21</v>
      </c>
      <c r="E851" s="5">
        <v>757953.27</v>
      </c>
      <c r="F851" s="4">
        <v>33906</v>
      </c>
      <c r="G851" s="4">
        <v>64</v>
      </c>
      <c r="H851" s="4">
        <v>0</v>
      </c>
      <c r="I851" t="s">
        <v>16</v>
      </c>
      <c r="J851" t="s">
        <v>24</v>
      </c>
      <c r="K851" s="4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5">
        <v>1097878.03</v>
      </c>
      <c r="F852" s="4">
        <v>68158</v>
      </c>
      <c r="G852" s="4">
        <v>139</v>
      </c>
      <c r="H852" s="4">
        <v>36526</v>
      </c>
      <c r="I852" t="s">
        <v>16</v>
      </c>
      <c r="J852" t="s">
        <v>29</v>
      </c>
      <c r="K852" s="4">
        <v>253.18356800000001</v>
      </c>
      <c r="L852" s="2">
        <v>35253.183568</v>
      </c>
    </row>
    <row r="853" spans="1:12" x14ac:dyDescent="0.35">
      <c r="A853" t="s">
        <v>892</v>
      </c>
      <c r="B853" t="s">
        <v>26</v>
      </c>
      <c r="C853" t="s">
        <v>27</v>
      </c>
      <c r="D853" t="s">
        <v>35</v>
      </c>
      <c r="E853" s="5">
        <v>825506.01</v>
      </c>
      <c r="F853" s="4">
        <v>0</v>
      </c>
      <c r="G853" s="4">
        <v>134</v>
      </c>
      <c r="H853" s="4">
        <v>36586</v>
      </c>
      <c r="I853" t="s">
        <v>16</v>
      </c>
      <c r="J853" t="s">
        <v>29</v>
      </c>
      <c r="K853" s="4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 s="4">
        <v>42165</v>
      </c>
      <c r="G854" s="4">
        <v>123</v>
      </c>
      <c r="H854" s="4">
        <v>0</v>
      </c>
      <c r="I854" t="s">
        <v>28</v>
      </c>
      <c r="J854" t="s">
        <v>29</v>
      </c>
      <c r="K854" s="4">
        <v>799.673766</v>
      </c>
      <c r="L854" s="2">
        <v>35799.673766</v>
      </c>
    </row>
    <row r="855" spans="1:12" x14ac:dyDescent="0.35">
      <c r="A855" t="s">
        <v>894</v>
      </c>
      <c r="B855" t="s">
        <v>13</v>
      </c>
      <c r="C855" t="s">
        <v>27</v>
      </c>
      <c r="D855" t="s">
        <v>35</v>
      </c>
      <c r="E855" s="5">
        <v>354090.43</v>
      </c>
      <c r="F855" s="4">
        <v>0</v>
      </c>
      <c r="G855" s="4">
        <v>101</v>
      </c>
      <c r="H855" s="4">
        <v>0</v>
      </c>
      <c r="I855" t="s">
        <v>16</v>
      </c>
      <c r="J855" t="s">
        <v>29</v>
      </c>
      <c r="K855" s="4">
        <v>727.2</v>
      </c>
      <c r="L855" s="2">
        <v>35727.199999999997</v>
      </c>
    </row>
    <row r="856" spans="1:12" x14ac:dyDescent="0.35">
      <c r="A856" t="s">
        <v>895</v>
      </c>
      <c r="B856" t="s">
        <v>26</v>
      </c>
      <c r="C856" t="s">
        <v>27</v>
      </c>
      <c r="D856" t="s">
        <v>80</v>
      </c>
      <c r="E856" s="5">
        <v>343613.43</v>
      </c>
      <c r="F856" s="4">
        <v>30817</v>
      </c>
      <c r="G856" s="4">
        <v>88</v>
      </c>
      <c r="H856" s="4">
        <v>0</v>
      </c>
      <c r="I856" t="s">
        <v>16</v>
      </c>
      <c r="J856" t="s">
        <v>17</v>
      </c>
      <c r="K856" s="4">
        <v>91.834667999999994</v>
      </c>
      <c r="L856" s="2">
        <v>35091.834668000003</v>
      </c>
    </row>
    <row r="857" spans="1:12" x14ac:dyDescent="0.35">
      <c r="A857" t="s">
        <v>896</v>
      </c>
      <c r="B857" t="s">
        <v>26</v>
      </c>
      <c r="C857" t="s">
        <v>27</v>
      </c>
      <c r="D857" t="s">
        <v>21</v>
      </c>
      <c r="E857" s="5">
        <v>258218.53</v>
      </c>
      <c r="F857" s="4">
        <v>68074</v>
      </c>
      <c r="G857" s="4">
        <v>65</v>
      </c>
      <c r="H857" s="4">
        <v>0</v>
      </c>
      <c r="I857" t="s">
        <v>16</v>
      </c>
      <c r="J857" t="s">
        <v>17</v>
      </c>
      <c r="K857" s="4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5">
        <v>1166509.78</v>
      </c>
      <c r="F858" s="4">
        <v>84978</v>
      </c>
      <c r="G858" s="4">
        <v>35353</v>
      </c>
      <c r="H858" s="4">
        <v>36526</v>
      </c>
      <c r="I858" t="s">
        <v>28</v>
      </c>
      <c r="J858" t="s">
        <v>17</v>
      </c>
      <c r="K858" s="4">
        <v>166.77296000000001</v>
      </c>
      <c r="L858" s="2">
        <v>35166.772960000002</v>
      </c>
    </row>
    <row r="859" spans="1:12" x14ac:dyDescent="0.35">
      <c r="A859" t="s">
        <v>898</v>
      </c>
      <c r="B859" t="s">
        <v>26</v>
      </c>
      <c r="C859" t="s">
        <v>20</v>
      </c>
      <c r="D859" t="s">
        <v>15</v>
      </c>
      <c r="E859" s="5">
        <v>739628.37</v>
      </c>
      <c r="F859" s="4">
        <v>71135</v>
      </c>
      <c r="G859" s="4">
        <v>92</v>
      </c>
      <c r="H859" s="4">
        <v>36526</v>
      </c>
      <c r="I859" t="s">
        <v>16</v>
      </c>
      <c r="J859" t="s">
        <v>17</v>
      </c>
      <c r="K859" s="4">
        <v>270.56399499999998</v>
      </c>
      <c r="L859" s="2">
        <v>35270.563994999997</v>
      </c>
    </row>
    <row r="860" spans="1:12" x14ac:dyDescent="0.35">
      <c r="A860" t="s">
        <v>899</v>
      </c>
      <c r="B860" t="s">
        <v>26</v>
      </c>
      <c r="C860" t="s">
        <v>20</v>
      </c>
      <c r="D860" t="s">
        <v>35</v>
      </c>
      <c r="E860" s="5">
        <v>433079.98</v>
      </c>
      <c r="F860" s="4">
        <v>0</v>
      </c>
      <c r="G860" s="4">
        <v>61</v>
      </c>
      <c r="H860" s="4">
        <v>0</v>
      </c>
      <c r="I860" t="s">
        <v>16</v>
      </c>
      <c r="J860" t="s">
        <v>24</v>
      </c>
      <c r="K860" s="4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5">
        <v>907576.82</v>
      </c>
      <c r="F861" s="4">
        <v>37722</v>
      </c>
      <c r="G861" s="4">
        <v>116</v>
      </c>
      <c r="H861" s="4">
        <v>0</v>
      </c>
      <c r="I861" t="s">
        <v>16</v>
      </c>
      <c r="J861" t="s">
        <v>78</v>
      </c>
      <c r="K861" s="4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5">
        <v>1463545.16</v>
      </c>
      <c r="F862" s="4">
        <v>0</v>
      </c>
      <c r="G862" s="4">
        <v>139</v>
      </c>
      <c r="H862" s="4">
        <v>0</v>
      </c>
      <c r="I862" t="s">
        <v>16</v>
      </c>
      <c r="J862" t="s">
        <v>29</v>
      </c>
      <c r="K862" s="4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</v>
      </c>
      <c r="D863" t="s">
        <v>31</v>
      </c>
      <c r="E863" s="5">
        <v>856476.82</v>
      </c>
      <c r="F863" s="4">
        <v>95697</v>
      </c>
      <c r="G863" s="4">
        <v>107</v>
      </c>
      <c r="H863" s="4">
        <v>0</v>
      </c>
      <c r="I863" t="s">
        <v>16</v>
      </c>
      <c r="J863" t="s">
        <v>78</v>
      </c>
      <c r="K863" s="4">
        <v>178.00652400000001</v>
      </c>
      <c r="L863" s="2">
        <v>35178.006523999997</v>
      </c>
    </row>
    <row r="864" spans="1:12" x14ac:dyDescent="0.35">
      <c r="A864" t="s">
        <v>903</v>
      </c>
      <c r="B864" t="s">
        <v>26</v>
      </c>
      <c r="C864" t="s">
        <v>20</v>
      </c>
      <c r="D864" t="s">
        <v>35</v>
      </c>
      <c r="E864" s="5">
        <v>1156568.75</v>
      </c>
      <c r="F864" s="4">
        <v>64642</v>
      </c>
      <c r="G864" s="4">
        <v>96</v>
      </c>
      <c r="H864" s="4">
        <v>0</v>
      </c>
      <c r="I864" t="s">
        <v>16</v>
      </c>
      <c r="J864" t="s">
        <v>17</v>
      </c>
      <c r="K864" s="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5">
        <v>277104.5</v>
      </c>
      <c r="F865" s="4">
        <v>50071</v>
      </c>
      <c r="G865" s="4">
        <v>71</v>
      </c>
      <c r="H865" s="4">
        <v>0</v>
      </c>
      <c r="I865" t="s">
        <v>16</v>
      </c>
      <c r="J865" t="s">
        <v>24</v>
      </c>
      <c r="K865" s="4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 s="4">
        <v>46754</v>
      </c>
      <c r="G866" s="4">
        <v>106</v>
      </c>
      <c r="H866" s="4">
        <v>36526</v>
      </c>
      <c r="I866" t="s">
        <v>16</v>
      </c>
      <c r="J866" t="s">
        <v>29</v>
      </c>
      <c r="K866" s="4">
        <v>513.81840299999999</v>
      </c>
      <c r="L866" s="2">
        <v>35513.818402999997</v>
      </c>
    </row>
    <row r="867" spans="1:12" x14ac:dyDescent="0.35">
      <c r="A867" t="s">
        <v>906</v>
      </c>
      <c r="B867" t="s">
        <v>26</v>
      </c>
      <c r="C867" t="s">
        <v>27</v>
      </c>
      <c r="D867" t="s">
        <v>35</v>
      </c>
      <c r="E867" s="5">
        <v>758211.38</v>
      </c>
      <c r="F867" s="4">
        <v>64801</v>
      </c>
      <c r="G867" s="4">
        <v>64</v>
      </c>
      <c r="H867" s="4">
        <v>0</v>
      </c>
      <c r="I867" t="s">
        <v>28</v>
      </c>
      <c r="J867" t="s">
        <v>17</v>
      </c>
      <c r="K867" s="4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5">
        <v>332309.25</v>
      </c>
      <c r="F868" s="4">
        <v>70410</v>
      </c>
      <c r="G868" s="4">
        <v>83</v>
      </c>
      <c r="H868" s="4">
        <v>0</v>
      </c>
      <c r="I868" t="s">
        <v>16</v>
      </c>
      <c r="J868" t="s">
        <v>17</v>
      </c>
      <c r="K868" s="4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5">
        <v>523433.17</v>
      </c>
      <c r="F869" s="4">
        <v>66957</v>
      </c>
      <c r="G869" s="4">
        <v>131</v>
      </c>
      <c r="H869" s="4">
        <v>36526</v>
      </c>
      <c r="I869" t="s">
        <v>16</v>
      </c>
      <c r="J869" t="s">
        <v>29</v>
      </c>
      <c r="K869" s="4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5">
        <v>2470959.96</v>
      </c>
      <c r="F870" s="4">
        <v>24213</v>
      </c>
      <c r="G870" s="4">
        <v>78</v>
      </c>
      <c r="H870" s="4">
        <v>36526</v>
      </c>
      <c r="I870" t="s">
        <v>16</v>
      </c>
      <c r="J870" t="s">
        <v>17</v>
      </c>
      <c r="K870" s="4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5">
        <v>1778627.78</v>
      </c>
      <c r="F871" s="4">
        <v>99790</v>
      </c>
      <c r="G871" s="4">
        <v>6464</v>
      </c>
      <c r="H871" s="4">
        <v>0</v>
      </c>
      <c r="I871" t="s">
        <v>16</v>
      </c>
      <c r="J871" t="s">
        <v>17</v>
      </c>
      <c r="K871" s="4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5">
        <v>255122.67</v>
      </c>
      <c r="F872" s="4">
        <v>79751</v>
      </c>
      <c r="G872" s="4">
        <v>63</v>
      </c>
      <c r="H872" s="4">
        <v>0</v>
      </c>
      <c r="I872" t="s">
        <v>16</v>
      </c>
      <c r="J872" t="s">
        <v>24</v>
      </c>
      <c r="K872" s="4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5">
        <v>724771.37</v>
      </c>
      <c r="F873" s="4">
        <v>86122</v>
      </c>
      <c r="G873" s="4">
        <v>182</v>
      </c>
      <c r="H873" s="4">
        <v>36526</v>
      </c>
      <c r="I873" t="s">
        <v>16</v>
      </c>
      <c r="J873" t="s">
        <v>65</v>
      </c>
      <c r="K873" s="4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5">
        <v>453884.78</v>
      </c>
      <c r="F874" s="4">
        <v>82297</v>
      </c>
      <c r="G874" s="4">
        <v>116</v>
      </c>
      <c r="H874" s="4">
        <v>0</v>
      </c>
      <c r="I874" t="s">
        <v>16</v>
      </c>
      <c r="J874" t="s">
        <v>78</v>
      </c>
      <c r="K874" s="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5">
        <v>3164210.46</v>
      </c>
      <c r="F875" s="4">
        <v>89057</v>
      </c>
      <c r="G875" s="4">
        <v>98</v>
      </c>
      <c r="H875" s="4">
        <v>0</v>
      </c>
      <c r="I875" t="s">
        <v>28</v>
      </c>
      <c r="J875" t="s">
        <v>24</v>
      </c>
      <c r="K875" s="4">
        <v>187.36358300000001</v>
      </c>
      <c r="L875" s="2">
        <v>35187.363582999998</v>
      </c>
    </row>
    <row r="876" spans="1:12" x14ac:dyDescent="0.35">
      <c r="A876" t="s">
        <v>915</v>
      </c>
      <c r="B876" t="s">
        <v>26</v>
      </c>
      <c r="C876" t="s">
        <v>27</v>
      </c>
      <c r="D876" t="s">
        <v>31</v>
      </c>
      <c r="E876" s="5">
        <v>873042.2</v>
      </c>
      <c r="F876" s="4">
        <v>43259</v>
      </c>
      <c r="G876" s="4">
        <v>73</v>
      </c>
      <c r="H876" s="4">
        <v>0</v>
      </c>
      <c r="I876" t="s">
        <v>16</v>
      </c>
      <c r="J876" t="s">
        <v>17</v>
      </c>
      <c r="K876" s="4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 s="4">
        <v>0</v>
      </c>
      <c r="G877" s="4">
        <v>79</v>
      </c>
      <c r="H877" s="4">
        <v>0</v>
      </c>
      <c r="I877" t="s">
        <v>16</v>
      </c>
      <c r="J877" t="s">
        <v>17</v>
      </c>
      <c r="K877" s="4">
        <v>379.2</v>
      </c>
      <c r="L877" s="2">
        <v>35379.199999999997</v>
      </c>
    </row>
    <row r="878" spans="1:12" x14ac:dyDescent="0.35">
      <c r="A878" t="s">
        <v>917</v>
      </c>
      <c r="B878" t="s">
        <v>26</v>
      </c>
      <c r="C878" t="s">
        <v>27</v>
      </c>
      <c r="D878" t="s">
        <v>35</v>
      </c>
      <c r="E878" s="5">
        <v>235774.7</v>
      </c>
      <c r="F878" s="4">
        <v>25064</v>
      </c>
      <c r="G878" s="4">
        <v>62</v>
      </c>
      <c r="H878" s="4">
        <v>0</v>
      </c>
      <c r="I878" t="s">
        <v>16</v>
      </c>
      <c r="J878" t="s">
        <v>17</v>
      </c>
      <c r="K878" s="4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5">
        <v>463716.4</v>
      </c>
      <c r="F879" s="4">
        <v>25816</v>
      </c>
      <c r="G879" s="4">
        <v>119</v>
      </c>
      <c r="H879" s="4">
        <v>0</v>
      </c>
      <c r="I879" t="s">
        <v>16</v>
      </c>
      <c r="J879" t="s">
        <v>78</v>
      </c>
      <c r="K879" s="4">
        <v>571.20000000000005</v>
      </c>
      <c r="L879" s="2">
        <v>35571.199999999997</v>
      </c>
    </row>
    <row r="880" spans="1:12" x14ac:dyDescent="0.35">
      <c r="A880" t="s">
        <v>919</v>
      </c>
      <c r="B880" t="s">
        <v>26</v>
      </c>
      <c r="C880" t="s">
        <v>27</v>
      </c>
      <c r="D880" t="s">
        <v>21</v>
      </c>
      <c r="E880" s="5">
        <v>535719.27</v>
      </c>
      <c r="F880" s="4">
        <v>0</v>
      </c>
      <c r="G880" s="4">
        <v>73</v>
      </c>
      <c r="H880" s="4">
        <v>0</v>
      </c>
      <c r="I880" t="s">
        <v>16</v>
      </c>
      <c r="J880" t="s">
        <v>17</v>
      </c>
      <c r="K880" s="4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5">
        <v>539197.1</v>
      </c>
      <c r="F881" s="4">
        <v>41662</v>
      </c>
      <c r="G881" s="4">
        <v>69</v>
      </c>
      <c r="H881" s="4">
        <v>0</v>
      </c>
      <c r="I881" t="s">
        <v>28</v>
      </c>
      <c r="J881" t="s">
        <v>17</v>
      </c>
      <c r="K881" s="4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5">
        <v>369414.05</v>
      </c>
      <c r="F882" s="4">
        <v>96170</v>
      </c>
      <c r="G882" s="4">
        <v>92</v>
      </c>
      <c r="H882" s="4">
        <v>0</v>
      </c>
      <c r="I882" t="s">
        <v>16</v>
      </c>
      <c r="J882" t="s">
        <v>17</v>
      </c>
      <c r="K882" s="4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5">
        <v>504041.24</v>
      </c>
      <c r="F883" s="4">
        <v>46072</v>
      </c>
      <c r="G883" s="4">
        <v>64</v>
      </c>
      <c r="H883" s="4">
        <v>0</v>
      </c>
      <c r="I883" t="s">
        <v>16</v>
      </c>
      <c r="J883" t="s">
        <v>17</v>
      </c>
      <c r="K883" s="4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5">
        <v>2749542.19</v>
      </c>
      <c r="F884" s="4">
        <v>37931</v>
      </c>
      <c r="G884" s="4">
        <v>99</v>
      </c>
      <c r="H884" s="4">
        <v>0</v>
      </c>
      <c r="I884" t="s">
        <v>16</v>
      </c>
      <c r="J884" t="s">
        <v>17</v>
      </c>
      <c r="K884" s="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 s="4">
        <v>35127</v>
      </c>
      <c r="G885" s="4">
        <v>62</v>
      </c>
      <c r="H885" s="4">
        <v>0</v>
      </c>
      <c r="I885" t="s">
        <v>16</v>
      </c>
      <c r="J885" t="s">
        <v>17</v>
      </c>
      <c r="K885" s="4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5">
        <v>2738281.89</v>
      </c>
      <c r="F886" s="4">
        <v>45473</v>
      </c>
      <c r="G886" s="4">
        <v>76</v>
      </c>
      <c r="H886" s="4">
        <v>0</v>
      </c>
      <c r="I886" t="s">
        <v>39</v>
      </c>
      <c r="J886" t="s">
        <v>24</v>
      </c>
      <c r="K886" s="4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5">
        <v>522710.19</v>
      </c>
      <c r="F887" s="4">
        <v>93087</v>
      </c>
      <c r="G887" s="4">
        <v>131</v>
      </c>
      <c r="H887" s="4">
        <v>36586</v>
      </c>
      <c r="I887" t="s">
        <v>28</v>
      </c>
      <c r="J887" t="s">
        <v>78</v>
      </c>
      <c r="K887" s="4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5">
        <v>259009.6</v>
      </c>
      <c r="F888" s="4">
        <v>22398</v>
      </c>
      <c r="G888" s="4">
        <v>67</v>
      </c>
      <c r="H888" s="4">
        <v>36557</v>
      </c>
      <c r="I888" t="s">
        <v>16</v>
      </c>
      <c r="J888" t="s">
        <v>17</v>
      </c>
      <c r="K888" s="4">
        <v>321.60000000000002</v>
      </c>
      <c r="L888" s="2">
        <v>35321.599999999999</v>
      </c>
    </row>
    <row r="889" spans="1:12" x14ac:dyDescent="0.35">
      <c r="A889" t="s">
        <v>928</v>
      </c>
      <c r="B889" t="s">
        <v>26</v>
      </c>
      <c r="C889" t="s">
        <v>27</v>
      </c>
      <c r="D889" t="s">
        <v>31</v>
      </c>
      <c r="E889" s="5">
        <v>1053607.8</v>
      </c>
      <c r="F889" s="4">
        <v>92983</v>
      </c>
      <c r="G889" s="4">
        <v>87</v>
      </c>
      <c r="H889" s="4">
        <v>36526</v>
      </c>
      <c r="I889" t="s">
        <v>28</v>
      </c>
      <c r="J889" t="s">
        <v>17</v>
      </c>
      <c r="K889" s="4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5">
        <v>858127.87</v>
      </c>
      <c r="F890" s="4">
        <v>27689</v>
      </c>
      <c r="G890" s="4">
        <v>239</v>
      </c>
      <c r="H890" s="4">
        <v>36557</v>
      </c>
      <c r="I890" t="s">
        <v>16</v>
      </c>
      <c r="J890" t="s">
        <v>65</v>
      </c>
      <c r="K890" s="4">
        <v>2893.2396779999999</v>
      </c>
      <c r="L890" s="2">
        <v>37893.239677999998</v>
      </c>
    </row>
    <row r="891" spans="1:12" x14ac:dyDescent="0.35">
      <c r="A891" t="s">
        <v>930</v>
      </c>
      <c r="B891" t="s">
        <v>26</v>
      </c>
      <c r="C891" t="s">
        <v>20</v>
      </c>
      <c r="D891" t="s">
        <v>35</v>
      </c>
      <c r="E891" s="5">
        <v>946311.33</v>
      </c>
      <c r="F891" s="4">
        <v>69654</v>
      </c>
      <c r="G891" s="4">
        <v>118</v>
      </c>
      <c r="H891" s="4">
        <v>0</v>
      </c>
      <c r="I891" t="s">
        <v>28</v>
      </c>
      <c r="J891" t="s">
        <v>29</v>
      </c>
      <c r="K891" s="4">
        <v>629.53273100000001</v>
      </c>
      <c r="L891" s="2">
        <v>35629.532730999999</v>
      </c>
    </row>
    <row r="892" spans="1:12" x14ac:dyDescent="0.35">
      <c r="A892" t="s">
        <v>931</v>
      </c>
      <c r="B892" t="s">
        <v>26</v>
      </c>
      <c r="C892" t="s">
        <v>20</v>
      </c>
      <c r="D892" t="s">
        <v>21</v>
      </c>
      <c r="E892" s="5">
        <v>1344100.64</v>
      </c>
      <c r="F892" s="4">
        <v>80744</v>
      </c>
      <c r="G892" s="4">
        <v>111</v>
      </c>
      <c r="H892" s="4">
        <v>0</v>
      </c>
      <c r="I892" t="s">
        <v>16</v>
      </c>
      <c r="J892" t="s">
        <v>29</v>
      </c>
      <c r="K892" s="4">
        <v>361.28475700000001</v>
      </c>
      <c r="L892" s="2">
        <v>35361.284757000001</v>
      </c>
    </row>
    <row r="893" spans="1:12" x14ac:dyDescent="0.35">
      <c r="A893" t="s">
        <v>932</v>
      </c>
      <c r="B893" t="s">
        <v>26</v>
      </c>
      <c r="C893" t="s">
        <v>20</v>
      </c>
      <c r="D893" t="s">
        <v>21</v>
      </c>
      <c r="E893" s="5">
        <v>388650.48</v>
      </c>
      <c r="F893" s="4">
        <v>0</v>
      </c>
      <c r="G893" s="4">
        <v>112</v>
      </c>
      <c r="H893" s="4">
        <v>0</v>
      </c>
      <c r="I893" t="s">
        <v>28</v>
      </c>
      <c r="J893" t="s">
        <v>29</v>
      </c>
      <c r="K893" s="4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5">
        <v>678489.37</v>
      </c>
      <c r="F894" s="4">
        <v>0</v>
      </c>
      <c r="G894" s="4">
        <v>64</v>
      </c>
      <c r="H894" s="4">
        <v>36526</v>
      </c>
      <c r="I894" t="s">
        <v>16</v>
      </c>
      <c r="J894" t="s">
        <v>17</v>
      </c>
      <c r="K894" s="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5">
        <v>2359468.02</v>
      </c>
      <c r="F895" s="4">
        <v>76358</v>
      </c>
      <c r="G895" s="4">
        <v>66</v>
      </c>
      <c r="H895" s="4">
        <v>0</v>
      </c>
      <c r="I895" t="s">
        <v>39</v>
      </c>
      <c r="J895" t="s">
        <v>17</v>
      </c>
      <c r="K895" s="4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5">
        <v>253862.63</v>
      </c>
      <c r="F896" s="4">
        <v>18608</v>
      </c>
      <c r="G896" s="4">
        <v>71</v>
      </c>
      <c r="H896" s="4">
        <v>0</v>
      </c>
      <c r="I896" t="s">
        <v>28</v>
      </c>
      <c r="J896" t="s">
        <v>17</v>
      </c>
      <c r="K896" s="4">
        <v>340.8</v>
      </c>
      <c r="L896" s="2">
        <v>35340.800000000003</v>
      </c>
    </row>
    <row r="897" spans="1:12" x14ac:dyDescent="0.35">
      <c r="A897" t="s">
        <v>936</v>
      </c>
      <c r="B897" t="s">
        <v>26</v>
      </c>
      <c r="C897" t="s">
        <v>27</v>
      </c>
      <c r="D897" t="s">
        <v>31</v>
      </c>
      <c r="E897" s="5">
        <v>563994.19999999995</v>
      </c>
      <c r="F897" s="4">
        <v>73168</v>
      </c>
      <c r="G897" s="4">
        <v>70</v>
      </c>
      <c r="H897" s="4">
        <v>0</v>
      </c>
      <c r="I897" t="s">
        <v>16</v>
      </c>
      <c r="J897" t="s">
        <v>17</v>
      </c>
      <c r="K897" s="4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5">
        <v>1168137.43</v>
      </c>
      <c r="F898" s="4">
        <v>70930</v>
      </c>
      <c r="G898" s="4">
        <v>99</v>
      </c>
      <c r="H898" s="4">
        <v>0</v>
      </c>
      <c r="I898" t="s">
        <v>16</v>
      </c>
      <c r="J898" t="s">
        <v>17</v>
      </c>
      <c r="K898" s="4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5">
        <v>2599775</v>
      </c>
      <c r="F899" s="4">
        <v>62262</v>
      </c>
      <c r="G899" s="4">
        <v>72</v>
      </c>
      <c r="H899" s="4">
        <v>0</v>
      </c>
      <c r="I899" t="s">
        <v>28</v>
      </c>
      <c r="J899" t="s">
        <v>17</v>
      </c>
      <c r="K899" s="4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5">
        <v>1377836.93</v>
      </c>
      <c r="F900" s="4">
        <v>91474</v>
      </c>
      <c r="G900" s="4">
        <v>113</v>
      </c>
      <c r="H900" s="4">
        <v>0</v>
      </c>
      <c r="I900" t="s">
        <v>28</v>
      </c>
      <c r="J900" t="s">
        <v>24</v>
      </c>
      <c r="K900" s="4">
        <v>24.087774</v>
      </c>
      <c r="L900" s="2">
        <v>35024.087774</v>
      </c>
    </row>
    <row r="901" spans="1:12" x14ac:dyDescent="0.35">
      <c r="A901" t="s">
        <v>940</v>
      </c>
      <c r="B901" t="s">
        <v>26</v>
      </c>
      <c r="C901" t="s">
        <v>20</v>
      </c>
      <c r="D901" t="s">
        <v>21</v>
      </c>
      <c r="E901" s="5">
        <v>492318.17</v>
      </c>
      <c r="F901" s="4">
        <v>61469</v>
      </c>
      <c r="G901" s="4">
        <v>63</v>
      </c>
      <c r="H901" s="4">
        <v>36647</v>
      </c>
      <c r="I901" t="s">
        <v>16</v>
      </c>
      <c r="J901" t="s">
        <v>17</v>
      </c>
      <c r="K901" s="4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5">
        <v>227233.54</v>
      </c>
      <c r="F902" s="4">
        <v>16618</v>
      </c>
      <c r="G902" s="4">
        <v>62</v>
      </c>
      <c r="H902" s="4">
        <v>0</v>
      </c>
      <c r="I902" t="s">
        <v>39</v>
      </c>
      <c r="J902" t="s">
        <v>17</v>
      </c>
      <c r="K902" s="4">
        <v>219.28870599999999</v>
      </c>
      <c r="L902" s="2">
        <v>35219.288705999999</v>
      </c>
    </row>
    <row r="903" spans="1:12" x14ac:dyDescent="0.35">
      <c r="A903" t="s">
        <v>942</v>
      </c>
      <c r="B903" t="s">
        <v>26</v>
      </c>
      <c r="C903" t="s">
        <v>20</v>
      </c>
      <c r="D903" t="s">
        <v>21</v>
      </c>
      <c r="E903" s="5">
        <v>1489539.8</v>
      </c>
      <c r="F903" s="4">
        <v>48081</v>
      </c>
      <c r="G903" s="4">
        <v>188</v>
      </c>
      <c r="H903" s="4">
        <v>0</v>
      </c>
      <c r="I903" t="s">
        <v>16</v>
      </c>
      <c r="J903" t="s">
        <v>65</v>
      </c>
      <c r="K903" s="4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 s="4">
        <v>67632</v>
      </c>
      <c r="G904" s="4">
        <v>121</v>
      </c>
      <c r="H904" s="4">
        <v>0</v>
      </c>
      <c r="I904" t="s">
        <v>16</v>
      </c>
      <c r="J904" t="s">
        <v>78</v>
      </c>
      <c r="K904" s="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5">
        <v>942297.41</v>
      </c>
      <c r="F905" s="4">
        <v>34115</v>
      </c>
      <c r="G905" s="4">
        <v>119</v>
      </c>
      <c r="H905" s="4">
        <v>0</v>
      </c>
      <c r="I905" t="s">
        <v>16</v>
      </c>
      <c r="J905" t="s">
        <v>29</v>
      </c>
      <c r="K905" s="4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5">
        <v>383735.76</v>
      </c>
      <c r="F906" s="4">
        <v>23051</v>
      </c>
      <c r="G906" s="4">
        <v>99</v>
      </c>
      <c r="H906" s="4">
        <v>0</v>
      </c>
      <c r="I906" t="s">
        <v>16</v>
      </c>
      <c r="J906" t="s">
        <v>24</v>
      </c>
      <c r="K906" s="4">
        <v>475.2</v>
      </c>
      <c r="L906" s="2">
        <v>35475.199999999997</v>
      </c>
    </row>
    <row r="907" spans="1:12" x14ac:dyDescent="0.35">
      <c r="A907" t="s">
        <v>946</v>
      </c>
      <c r="B907" t="s">
        <v>26</v>
      </c>
      <c r="C907" t="s">
        <v>27</v>
      </c>
      <c r="D907" t="s">
        <v>35</v>
      </c>
      <c r="E907" s="5">
        <v>1095213.19</v>
      </c>
      <c r="F907" s="4">
        <v>23748</v>
      </c>
      <c r="G907" s="4">
        <v>99</v>
      </c>
      <c r="H907" s="4">
        <v>0</v>
      </c>
      <c r="I907" t="s">
        <v>16</v>
      </c>
      <c r="J907" t="s">
        <v>17</v>
      </c>
      <c r="K907" s="4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5">
        <v>815913.66</v>
      </c>
      <c r="F908" s="4">
        <v>40589</v>
      </c>
      <c r="G908" s="4">
        <v>69</v>
      </c>
      <c r="H908" s="4">
        <v>0</v>
      </c>
      <c r="I908" t="s">
        <v>28</v>
      </c>
      <c r="J908" t="s">
        <v>17</v>
      </c>
      <c r="K908" s="4">
        <v>331.2</v>
      </c>
      <c r="L908" s="2">
        <v>35331.199999999997</v>
      </c>
    </row>
    <row r="909" spans="1:12" x14ac:dyDescent="0.35">
      <c r="A909" t="s">
        <v>948</v>
      </c>
      <c r="B909" t="s">
        <v>26</v>
      </c>
      <c r="C909" t="s">
        <v>20</v>
      </c>
      <c r="D909" t="s">
        <v>35</v>
      </c>
      <c r="E909" s="5">
        <v>1948049.98</v>
      </c>
      <c r="F909" s="4">
        <v>50809</v>
      </c>
      <c r="G909" s="4">
        <v>83</v>
      </c>
      <c r="H909" s="4">
        <v>0</v>
      </c>
      <c r="I909" t="s">
        <v>16</v>
      </c>
      <c r="J909" t="s">
        <v>17</v>
      </c>
      <c r="K909" s="4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5">
        <v>391936.67</v>
      </c>
      <c r="F910" s="4">
        <v>66676</v>
      </c>
      <c r="G910" s="4">
        <v>97</v>
      </c>
      <c r="H910" s="4">
        <v>0</v>
      </c>
      <c r="I910" t="s">
        <v>16</v>
      </c>
      <c r="J910" t="s">
        <v>17</v>
      </c>
      <c r="K910" s="4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5">
        <v>798514.21</v>
      </c>
      <c r="F911" s="4">
        <v>52339</v>
      </c>
      <c r="G911" s="4">
        <v>70</v>
      </c>
      <c r="H911" s="4">
        <v>36586</v>
      </c>
      <c r="I911" t="s">
        <v>28</v>
      </c>
      <c r="J911" t="s">
        <v>17</v>
      </c>
      <c r="K911" s="4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5">
        <v>1216874.49</v>
      </c>
      <c r="F912" s="4">
        <v>14973</v>
      </c>
      <c r="G912" s="4">
        <v>115</v>
      </c>
      <c r="H912" s="4">
        <v>0</v>
      </c>
      <c r="I912" t="s">
        <v>16</v>
      </c>
      <c r="J912" t="s">
        <v>29</v>
      </c>
      <c r="K912" s="4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5">
        <v>584932.15</v>
      </c>
      <c r="F913" s="4">
        <v>0</v>
      </c>
      <c r="G913" s="4">
        <v>83</v>
      </c>
      <c r="H913" s="4">
        <v>0</v>
      </c>
      <c r="I913" t="s">
        <v>28</v>
      </c>
      <c r="J913" t="s">
        <v>17</v>
      </c>
      <c r="K913" s="4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5">
        <v>508583.66</v>
      </c>
      <c r="F914" s="4">
        <v>31546</v>
      </c>
      <c r="G914" s="4">
        <v>65</v>
      </c>
      <c r="H914" s="4">
        <v>0</v>
      </c>
      <c r="I914" t="s">
        <v>16</v>
      </c>
      <c r="J914" t="s">
        <v>17</v>
      </c>
      <c r="K914" s="4">
        <v>100.04983199999999</v>
      </c>
      <c r="L914" s="2">
        <v>35100.049831999997</v>
      </c>
    </row>
    <row r="915" spans="1:12" x14ac:dyDescent="0.35">
      <c r="A915" t="s">
        <v>954</v>
      </c>
      <c r="B915" t="s">
        <v>26</v>
      </c>
      <c r="C915" t="s">
        <v>20</v>
      </c>
      <c r="D915" t="s">
        <v>35</v>
      </c>
      <c r="E915" s="5">
        <v>290393.98</v>
      </c>
      <c r="F915" s="4">
        <v>67763</v>
      </c>
      <c r="G915" s="4">
        <v>73</v>
      </c>
      <c r="H915" s="4">
        <v>36526</v>
      </c>
      <c r="I915" t="s">
        <v>16</v>
      </c>
      <c r="J915" t="s">
        <v>17</v>
      </c>
      <c r="K915" s="4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5">
        <v>627317.34</v>
      </c>
      <c r="F916" s="4">
        <v>20836</v>
      </c>
      <c r="G916" s="4">
        <v>79</v>
      </c>
      <c r="H916" s="4">
        <v>0</v>
      </c>
      <c r="I916" t="s">
        <v>28</v>
      </c>
      <c r="J916" t="s">
        <v>17</v>
      </c>
      <c r="K916" s="4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5">
        <v>1832141.9</v>
      </c>
      <c r="F917" s="4">
        <v>88592</v>
      </c>
      <c r="G917" s="4">
        <v>76</v>
      </c>
      <c r="H917" s="4">
        <v>0</v>
      </c>
      <c r="I917" t="s">
        <v>28</v>
      </c>
      <c r="J917" t="s">
        <v>17</v>
      </c>
      <c r="K917" s="4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5">
        <v>517870.42</v>
      </c>
      <c r="F918" s="4">
        <v>66943</v>
      </c>
      <c r="G918" s="4">
        <v>65</v>
      </c>
      <c r="H918" s="4">
        <v>36526</v>
      </c>
      <c r="I918" t="s">
        <v>39</v>
      </c>
      <c r="J918" t="s">
        <v>17</v>
      </c>
      <c r="K918" s="4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5">
        <v>1402435.84</v>
      </c>
      <c r="F919" s="4">
        <v>81872</v>
      </c>
      <c r="G919" s="4">
        <v>115</v>
      </c>
      <c r="H919" s="4">
        <v>0</v>
      </c>
      <c r="I919" t="s">
        <v>39</v>
      </c>
      <c r="J919" t="s">
        <v>17</v>
      </c>
      <c r="K919" s="4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5">
        <v>530943.59</v>
      </c>
      <c r="F920" s="4">
        <v>22404</v>
      </c>
      <c r="G920" s="4">
        <v>70</v>
      </c>
      <c r="H920" s="4">
        <v>36526</v>
      </c>
      <c r="I920" t="s">
        <v>16</v>
      </c>
      <c r="J920" t="s">
        <v>17</v>
      </c>
      <c r="K920" s="4">
        <v>211.136067</v>
      </c>
      <c r="L920" s="2">
        <v>35211.136066999999</v>
      </c>
    </row>
    <row r="921" spans="1:12" x14ac:dyDescent="0.35">
      <c r="A921" t="s">
        <v>960</v>
      </c>
      <c r="B921" t="s">
        <v>26</v>
      </c>
      <c r="C921" t="s">
        <v>20</v>
      </c>
      <c r="D921" t="s">
        <v>31</v>
      </c>
      <c r="E921" s="5">
        <v>494980.38</v>
      </c>
      <c r="F921" s="4">
        <v>21342</v>
      </c>
      <c r="G921" s="4">
        <v>62</v>
      </c>
      <c r="H921" s="4">
        <v>0</v>
      </c>
      <c r="I921" t="s">
        <v>16</v>
      </c>
      <c r="J921" t="s">
        <v>17</v>
      </c>
      <c r="K921" s="4">
        <v>74.350892999999999</v>
      </c>
      <c r="L921" s="2">
        <v>35074.350893000003</v>
      </c>
    </row>
    <row r="922" spans="1:12" x14ac:dyDescent="0.35">
      <c r="A922" t="s">
        <v>961</v>
      </c>
      <c r="B922" t="s">
        <v>26</v>
      </c>
      <c r="C922" t="s">
        <v>27</v>
      </c>
      <c r="D922" t="s">
        <v>21</v>
      </c>
      <c r="E922" s="5">
        <v>859566.53</v>
      </c>
      <c r="F922" s="4">
        <v>34621</v>
      </c>
      <c r="G922" s="4">
        <v>108</v>
      </c>
      <c r="H922" s="4">
        <v>36526</v>
      </c>
      <c r="I922" t="s">
        <v>28</v>
      </c>
      <c r="J922" t="s">
        <v>29</v>
      </c>
      <c r="K922" s="4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 s="4">
        <v>62396</v>
      </c>
      <c r="G923" s="4">
        <v>64</v>
      </c>
      <c r="H923" s="4">
        <v>0</v>
      </c>
      <c r="I923" t="s">
        <v>16</v>
      </c>
      <c r="J923" t="s">
        <v>17</v>
      </c>
      <c r="K923" s="4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 s="4">
        <v>97212</v>
      </c>
      <c r="G924" s="4">
        <v>93</v>
      </c>
      <c r="H924" s="4">
        <v>0</v>
      </c>
      <c r="I924" t="s">
        <v>16</v>
      </c>
      <c r="J924" t="s">
        <v>24</v>
      </c>
      <c r="K924" s="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5">
        <v>275574.8</v>
      </c>
      <c r="F925" s="4">
        <v>49648</v>
      </c>
      <c r="G925" s="4">
        <v>70</v>
      </c>
      <c r="H925" s="4">
        <v>0</v>
      </c>
      <c r="I925" t="s">
        <v>16</v>
      </c>
      <c r="J925" t="s">
        <v>17</v>
      </c>
      <c r="K925" s="4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5">
        <v>488033.96</v>
      </c>
      <c r="F926" s="4">
        <v>97984</v>
      </c>
      <c r="G926" s="4">
        <v>61</v>
      </c>
      <c r="H926" s="4">
        <v>36526</v>
      </c>
      <c r="I926" t="s">
        <v>16</v>
      </c>
      <c r="J926" t="s">
        <v>17</v>
      </c>
      <c r="K926" s="4">
        <v>407.45011799999997</v>
      </c>
      <c r="L926" s="2">
        <v>35407.450118000001</v>
      </c>
    </row>
    <row r="927" spans="1:12" x14ac:dyDescent="0.35">
      <c r="A927" t="s">
        <v>966</v>
      </c>
      <c r="B927" t="s">
        <v>26</v>
      </c>
      <c r="C927" t="s">
        <v>20</v>
      </c>
      <c r="D927" t="s">
        <v>35</v>
      </c>
      <c r="E927" s="5">
        <v>905190.53</v>
      </c>
      <c r="F927" s="4">
        <v>26308</v>
      </c>
      <c r="G927" s="4">
        <v>114</v>
      </c>
      <c r="H927" s="4">
        <v>0</v>
      </c>
      <c r="I927" t="s">
        <v>28</v>
      </c>
      <c r="J927" t="s">
        <v>29</v>
      </c>
      <c r="K927" s="4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5">
        <v>1011544.62</v>
      </c>
      <c r="F928" s="4">
        <v>63528</v>
      </c>
      <c r="G928" s="4">
        <v>256</v>
      </c>
      <c r="H928" s="4">
        <v>0</v>
      </c>
      <c r="I928" t="s">
        <v>16</v>
      </c>
      <c r="J928" t="s">
        <v>117</v>
      </c>
      <c r="K928" s="4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 s="4">
        <v>20225</v>
      </c>
      <c r="G929" s="4">
        <v>114</v>
      </c>
      <c r="H929" s="4">
        <v>36526</v>
      </c>
      <c r="I929" t="s">
        <v>39</v>
      </c>
      <c r="J929" t="s">
        <v>29</v>
      </c>
      <c r="K929" s="4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 s="4">
        <v>0</v>
      </c>
      <c r="G930" s="4">
        <v>112</v>
      </c>
      <c r="H930" s="4">
        <v>0</v>
      </c>
      <c r="I930" t="s">
        <v>16</v>
      </c>
      <c r="J930" t="s">
        <v>29</v>
      </c>
      <c r="K930" s="4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5">
        <v>772699.36</v>
      </c>
      <c r="F931" s="4">
        <v>87620</v>
      </c>
      <c r="G931" s="4">
        <v>64</v>
      </c>
      <c r="H931" s="4">
        <v>0</v>
      </c>
      <c r="I931" t="s">
        <v>16</v>
      </c>
      <c r="J931" t="s">
        <v>17</v>
      </c>
      <c r="K931" s="4">
        <v>24.063693000000001</v>
      </c>
      <c r="L931" s="2">
        <v>35024.063692999996</v>
      </c>
    </row>
    <row r="932" spans="1:12" x14ac:dyDescent="0.35">
      <c r="A932" t="s">
        <v>971</v>
      </c>
      <c r="B932" t="s">
        <v>26</v>
      </c>
      <c r="C932" t="s">
        <v>20</v>
      </c>
      <c r="D932" t="s">
        <v>21</v>
      </c>
      <c r="E932" s="5">
        <v>831113.59</v>
      </c>
      <c r="F932" s="4">
        <v>0</v>
      </c>
      <c r="G932" s="4">
        <v>72</v>
      </c>
      <c r="H932" s="4">
        <v>0</v>
      </c>
      <c r="I932" t="s">
        <v>28</v>
      </c>
      <c r="J932" t="s">
        <v>17</v>
      </c>
      <c r="K932" s="4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5">
        <v>257402.04</v>
      </c>
      <c r="F933" s="4">
        <v>34990</v>
      </c>
      <c r="G933" s="4">
        <v>65</v>
      </c>
      <c r="H933" s="4">
        <v>0</v>
      </c>
      <c r="I933" t="s">
        <v>16</v>
      </c>
      <c r="J933" t="s">
        <v>17</v>
      </c>
      <c r="K933" s="4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5">
        <v>572732.71</v>
      </c>
      <c r="F934" s="4">
        <v>99934</v>
      </c>
      <c r="G934" s="4">
        <v>71</v>
      </c>
      <c r="H934" s="4">
        <v>0</v>
      </c>
      <c r="I934" t="s">
        <v>39</v>
      </c>
      <c r="J934" t="s">
        <v>17</v>
      </c>
      <c r="K934" s="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5">
        <v>367914.21</v>
      </c>
      <c r="F935" s="4">
        <v>60804</v>
      </c>
      <c r="G935" s="4">
        <v>92</v>
      </c>
      <c r="H935" s="4">
        <v>0</v>
      </c>
      <c r="I935" t="s">
        <v>16</v>
      </c>
      <c r="J935" t="s">
        <v>17</v>
      </c>
      <c r="K935" s="4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5">
        <v>274451.96000000002</v>
      </c>
      <c r="F936" s="4">
        <v>94648</v>
      </c>
      <c r="G936" s="4">
        <v>69</v>
      </c>
      <c r="H936" s="4">
        <v>0</v>
      </c>
      <c r="I936" t="s">
        <v>16</v>
      </c>
      <c r="J936" t="s">
        <v>17</v>
      </c>
      <c r="K936" s="4">
        <v>331.2</v>
      </c>
      <c r="L936" s="2">
        <v>35331.199999999997</v>
      </c>
    </row>
    <row r="937" spans="1:12" x14ac:dyDescent="0.35">
      <c r="A937" t="s">
        <v>976</v>
      </c>
      <c r="B937" t="s">
        <v>26</v>
      </c>
      <c r="C937" t="s">
        <v>20</v>
      </c>
      <c r="D937" t="s">
        <v>31</v>
      </c>
      <c r="E937" s="5">
        <v>563674.03</v>
      </c>
      <c r="F937" s="4">
        <v>24516</v>
      </c>
      <c r="G937" s="4">
        <v>71</v>
      </c>
      <c r="H937" s="4">
        <v>0</v>
      </c>
      <c r="I937" t="s">
        <v>16</v>
      </c>
      <c r="J937" t="s">
        <v>17</v>
      </c>
      <c r="K937" s="4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5">
        <v>1687038.82</v>
      </c>
      <c r="F938" s="4">
        <v>61063</v>
      </c>
      <c r="G938" s="4">
        <v>85</v>
      </c>
      <c r="H938" s="4">
        <v>0</v>
      </c>
      <c r="I938" t="s">
        <v>16</v>
      </c>
      <c r="J938" t="s">
        <v>17</v>
      </c>
      <c r="K938" s="4">
        <v>262.50488200000001</v>
      </c>
      <c r="L938" s="2">
        <v>35262.504882000001</v>
      </c>
    </row>
    <row r="939" spans="1:12" x14ac:dyDescent="0.35">
      <c r="A939" t="s">
        <v>978</v>
      </c>
      <c r="B939" t="s">
        <v>26</v>
      </c>
      <c r="C939" t="s">
        <v>27</v>
      </c>
      <c r="D939" t="s">
        <v>15</v>
      </c>
      <c r="E939" s="5">
        <v>273800.2</v>
      </c>
      <c r="F939" s="4">
        <v>0</v>
      </c>
      <c r="G939" s="4">
        <v>74</v>
      </c>
      <c r="H939" s="4">
        <v>0</v>
      </c>
      <c r="I939" t="s">
        <v>16</v>
      </c>
      <c r="J939" t="s">
        <v>24</v>
      </c>
      <c r="K939" s="4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5">
        <v>464470.05</v>
      </c>
      <c r="F940" s="4">
        <v>0</v>
      </c>
      <c r="G940" s="4">
        <v>64</v>
      </c>
      <c r="H940" s="4">
        <v>0</v>
      </c>
      <c r="I940" t="s">
        <v>28</v>
      </c>
      <c r="J940" t="s">
        <v>17</v>
      </c>
      <c r="K940" s="4">
        <v>307.2</v>
      </c>
      <c r="L940" s="2">
        <v>35307.199999999997</v>
      </c>
    </row>
    <row r="941" spans="1:12" x14ac:dyDescent="0.35">
      <c r="A941" t="s">
        <v>980</v>
      </c>
      <c r="B941" t="s">
        <v>26</v>
      </c>
      <c r="C941" t="s">
        <v>20</v>
      </c>
      <c r="D941" t="s">
        <v>31</v>
      </c>
      <c r="E941" s="5">
        <v>474668.65</v>
      </c>
      <c r="F941" s="4">
        <v>15169</v>
      </c>
      <c r="G941" s="4">
        <v>63</v>
      </c>
      <c r="H941" s="4">
        <v>0</v>
      </c>
      <c r="I941" t="s">
        <v>16</v>
      </c>
      <c r="J941" t="s">
        <v>17</v>
      </c>
      <c r="K941" s="4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5">
        <v>1687432.82</v>
      </c>
      <c r="F942" s="4">
        <v>55390</v>
      </c>
      <c r="G942" s="4">
        <v>71</v>
      </c>
      <c r="H942" s="4">
        <v>0</v>
      </c>
      <c r="I942" t="s">
        <v>28</v>
      </c>
      <c r="J942" t="s">
        <v>24</v>
      </c>
      <c r="K942" s="4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5">
        <v>238760.61</v>
      </c>
      <c r="F943" s="4">
        <v>27592</v>
      </c>
      <c r="G943" s="4">
        <v>62</v>
      </c>
      <c r="H943" s="4">
        <v>0</v>
      </c>
      <c r="I943" t="s">
        <v>16</v>
      </c>
      <c r="J943" t="s">
        <v>17</v>
      </c>
      <c r="K943" s="4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5">
        <v>446533.57</v>
      </c>
      <c r="F944" s="4">
        <v>61846</v>
      </c>
      <c r="G944" s="4">
        <v>112</v>
      </c>
      <c r="H944" s="4">
        <v>0</v>
      </c>
      <c r="I944" t="s">
        <v>16</v>
      </c>
      <c r="J944" t="s">
        <v>29</v>
      </c>
      <c r="K944" s="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5">
        <v>459162.59</v>
      </c>
      <c r="F945" s="4">
        <v>83297</v>
      </c>
      <c r="G945" s="4">
        <v>113</v>
      </c>
      <c r="H945" s="4">
        <v>0</v>
      </c>
      <c r="I945" t="s">
        <v>16</v>
      </c>
      <c r="J945" t="s">
        <v>29</v>
      </c>
      <c r="K945" s="4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5">
        <v>1309258.58</v>
      </c>
      <c r="F946" s="4">
        <v>0</v>
      </c>
      <c r="G946" s="4">
        <v>188</v>
      </c>
      <c r="H946" s="4">
        <v>0</v>
      </c>
      <c r="I946" t="s">
        <v>39</v>
      </c>
      <c r="J946" t="s">
        <v>117</v>
      </c>
      <c r="K946" s="4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5">
        <v>911226.66</v>
      </c>
      <c r="F947" s="4">
        <v>0</v>
      </c>
      <c r="G947" s="4">
        <v>90</v>
      </c>
      <c r="H947" s="4">
        <v>0</v>
      </c>
      <c r="I947" t="s">
        <v>16</v>
      </c>
      <c r="J947" t="s">
        <v>17</v>
      </c>
      <c r="K947" s="4">
        <v>432</v>
      </c>
      <c r="L947" s="2">
        <v>35432</v>
      </c>
    </row>
    <row r="948" spans="1:12" x14ac:dyDescent="0.35">
      <c r="A948" t="s">
        <v>987</v>
      </c>
      <c r="B948" t="s">
        <v>26</v>
      </c>
      <c r="C948" t="s">
        <v>20</v>
      </c>
      <c r="D948" t="s">
        <v>31</v>
      </c>
      <c r="E948" s="5">
        <v>416516.66</v>
      </c>
      <c r="F948" s="4">
        <v>55897</v>
      </c>
      <c r="G948" s="4">
        <v>104</v>
      </c>
      <c r="H948" s="4">
        <v>0</v>
      </c>
      <c r="I948" t="s">
        <v>16</v>
      </c>
      <c r="J948" t="s">
        <v>17</v>
      </c>
      <c r="K948" s="4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5">
        <v>265998.06</v>
      </c>
      <c r="F949" s="4">
        <v>21297</v>
      </c>
      <c r="G949" s="4">
        <v>71</v>
      </c>
      <c r="H949" s="4">
        <v>0</v>
      </c>
      <c r="I949" t="s">
        <v>16</v>
      </c>
      <c r="J949" t="s">
        <v>17</v>
      </c>
      <c r="K949" s="4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5">
        <v>1198659.21</v>
      </c>
      <c r="F950" s="4">
        <v>87560</v>
      </c>
      <c r="G950" s="4">
        <v>98</v>
      </c>
      <c r="H950" s="4">
        <v>36526</v>
      </c>
      <c r="I950" t="s">
        <v>16</v>
      </c>
      <c r="J950" t="s">
        <v>24</v>
      </c>
      <c r="K950" s="4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5">
        <v>289873.27</v>
      </c>
      <c r="F951" s="4">
        <v>0</v>
      </c>
      <c r="G951" s="4">
        <v>96</v>
      </c>
      <c r="H951" s="4">
        <v>36617</v>
      </c>
      <c r="I951" t="s">
        <v>16</v>
      </c>
      <c r="J951" t="s">
        <v>17</v>
      </c>
      <c r="K951" s="4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5">
        <v>289424.39</v>
      </c>
      <c r="F952" s="4">
        <v>0</v>
      </c>
      <c r="G952" s="4">
        <v>85</v>
      </c>
      <c r="H952" s="4">
        <v>0</v>
      </c>
      <c r="I952" t="s">
        <v>16</v>
      </c>
      <c r="J952" t="s">
        <v>17</v>
      </c>
      <c r="K952" s="4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5">
        <v>350045.44</v>
      </c>
      <c r="F953" s="4">
        <v>89398</v>
      </c>
      <c r="G953" s="4">
        <v>86</v>
      </c>
      <c r="H953" s="4">
        <v>0</v>
      </c>
      <c r="I953" t="s">
        <v>16</v>
      </c>
      <c r="J953" t="s">
        <v>17</v>
      </c>
      <c r="K953" s="4">
        <v>82.409921999999995</v>
      </c>
      <c r="L953" s="2">
        <v>35082.409921999999</v>
      </c>
    </row>
    <row r="954" spans="1:12" x14ac:dyDescent="0.35">
      <c r="A954" t="s">
        <v>993</v>
      </c>
      <c r="B954" t="s">
        <v>26</v>
      </c>
      <c r="C954" t="s">
        <v>20</v>
      </c>
      <c r="D954" t="s">
        <v>35</v>
      </c>
      <c r="E954" s="5">
        <v>262180.86</v>
      </c>
      <c r="F954" s="4">
        <v>36843</v>
      </c>
      <c r="G954" s="4">
        <v>68</v>
      </c>
      <c r="H954" s="4">
        <v>36586</v>
      </c>
      <c r="I954" t="s">
        <v>28</v>
      </c>
      <c r="J954" t="s">
        <v>17</v>
      </c>
      <c r="K954" s="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5">
        <v>1022180.5</v>
      </c>
      <c r="F955" s="4">
        <v>0</v>
      </c>
      <c r="G955" s="4">
        <v>134</v>
      </c>
      <c r="H955" s="4">
        <v>0</v>
      </c>
      <c r="I955" t="s">
        <v>16</v>
      </c>
      <c r="J955" t="s">
        <v>29</v>
      </c>
      <c r="K955" s="4">
        <v>643.20000000000005</v>
      </c>
      <c r="L955" s="2">
        <v>35643.199999999997</v>
      </c>
    </row>
    <row r="956" spans="1:12" x14ac:dyDescent="0.35">
      <c r="A956" t="s">
        <v>995</v>
      </c>
      <c r="B956" t="s">
        <v>26</v>
      </c>
      <c r="C956" t="s">
        <v>27</v>
      </c>
      <c r="D956" t="s">
        <v>31</v>
      </c>
      <c r="E956" s="5">
        <v>257827.1</v>
      </c>
      <c r="F956" s="4">
        <v>34946</v>
      </c>
      <c r="G956" s="4">
        <v>65</v>
      </c>
      <c r="H956" s="4">
        <v>0</v>
      </c>
      <c r="I956" t="s">
        <v>16</v>
      </c>
      <c r="J956" t="s">
        <v>24</v>
      </c>
      <c r="K956" s="4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5">
        <v>624259.56999999995</v>
      </c>
      <c r="F957" s="4">
        <v>75680</v>
      </c>
      <c r="G957" s="4">
        <v>78</v>
      </c>
      <c r="H957" s="4">
        <v>0</v>
      </c>
      <c r="I957" t="s">
        <v>16</v>
      </c>
      <c r="J957" t="s">
        <v>17</v>
      </c>
      <c r="K957" s="4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5">
        <v>522028.1</v>
      </c>
      <c r="F958" s="4">
        <v>0</v>
      </c>
      <c r="G958" s="4">
        <v>69</v>
      </c>
      <c r="H958" s="4">
        <v>0</v>
      </c>
      <c r="I958" t="s">
        <v>16</v>
      </c>
      <c r="J958" t="s">
        <v>17</v>
      </c>
      <c r="K958" s="4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5">
        <v>313643.21000000002</v>
      </c>
      <c r="F959" s="4">
        <v>49532</v>
      </c>
      <c r="G959" s="4">
        <v>79</v>
      </c>
      <c r="H959" s="4">
        <v>36526</v>
      </c>
      <c r="I959" t="s">
        <v>16</v>
      </c>
      <c r="J959" t="s">
        <v>17</v>
      </c>
      <c r="K959" s="4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5">
        <v>452536.58</v>
      </c>
      <c r="F960" s="4">
        <v>10269</v>
      </c>
      <c r="G960" s="4">
        <v>65</v>
      </c>
      <c r="H960" s="4">
        <v>0</v>
      </c>
      <c r="I960" t="s">
        <v>16</v>
      </c>
      <c r="J960" t="s">
        <v>24</v>
      </c>
      <c r="K960" s="4">
        <v>170.798204</v>
      </c>
      <c r="L960" s="2">
        <v>35170.798203999999</v>
      </c>
    </row>
    <row r="961" spans="1:12" x14ac:dyDescent="0.35">
      <c r="A961" t="s">
        <v>1000</v>
      </c>
      <c r="B961" t="s">
        <v>26</v>
      </c>
      <c r="C961" t="s">
        <v>27</v>
      </c>
      <c r="D961" t="s">
        <v>35</v>
      </c>
      <c r="E961" s="5">
        <v>497035.73</v>
      </c>
      <c r="F961" s="4">
        <v>49714</v>
      </c>
      <c r="G961" s="4">
        <v>63</v>
      </c>
      <c r="H961" s="4">
        <v>36586</v>
      </c>
      <c r="I961" t="s">
        <v>16</v>
      </c>
      <c r="J961" t="s">
        <v>17</v>
      </c>
      <c r="K961" s="4">
        <v>266.16553499999998</v>
      </c>
      <c r="L961" s="2">
        <v>35266.165535</v>
      </c>
    </row>
    <row r="962" spans="1:12" x14ac:dyDescent="0.35">
      <c r="A962" t="s">
        <v>1001</v>
      </c>
      <c r="B962" t="s">
        <v>26</v>
      </c>
      <c r="C962" t="s">
        <v>27</v>
      </c>
      <c r="D962" t="s">
        <v>31</v>
      </c>
      <c r="E962" s="5">
        <v>1546778.9</v>
      </c>
      <c r="F962" s="4">
        <v>77517</v>
      </c>
      <c r="G962" s="4">
        <v>129</v>
      </c>
      <c r="H962" s="4">
        <v>0</v>
      </c>
      <c r="I962" t="s">
        <v>28</v>
      </c>
      <c r="J962" t="s">
        <v>29</v>
      </c>
      <c r="K962" s="4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 s="4">
        <v>81082</v>
      </c>
      <c r="G963" s="4">
        <v>73</v>
      </c>
      <c r="H963" s="4">
        <v>0</v>
      </c>
      <c r="I963" t="s">
        <v>16</v>
      </c>
      <c r="J963" t="s">
        <v>17</v>
      </c>
      <c r="K963" s="4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5">
        <v>1065688.2</v>
      </c>
      <c r="F964" s="4">
        <v>72540</v>
      </c>
      <c r="G964" s="4">
        <v>88</v>
      </c>
      <c r="H964" s="4">
        <v>0</v>
      </c>
      <c r="I964" t="s">
        <v>28</v>
      </c>
      <c r="J964" t="s">
        <v>24</v>
      </c>
      <c r="K964" s="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5">
        <v>228961.87</v>
      </c>
      <c r="F965" s="4">
        <v>0</v>
      </c>
      <c r="G965" s="4">
        <v>65</v>
      </c>
      <c r="H965" s="4">
        <v>0</v>
      </c>
      <c r="I965" t="s">
        <v>16</v>
      </c>
      <c r="J965" t="s">
        <v>17</v>
      </c>
      <c r="K965" s="4">
        <v>468</v>
      </c>
      <c r="L965" s="2">
        <v>35468</v>
      </c>
    </row>
    <row r="966" spans="1:12" x14ac:dyDescent="0.35">
      <c r="A966" t="s">
        <v>1005</v>
      </c>
      <c r="B966" t="s">
        <v>26</v>
      </c>
      <c r="C966" t="s">
        <v>27</v>
      </c>
      <c r="D966" t="s">
        <v>31</v>
      </c>
      <c r="E966" s="5">
        <v>543980.42000000004</v>
      </c>
      <c r="F966" s="4">
        <v>61546</v>
      </c>
      <c r="G966" s="4">
        <v>68</v>
      </c>
      <c r="H966" s="4">
        <v>0</v>
      </c>
      <c r="I966" t="s">
        <v>28</v>
      </c>
      <c r="J966" t="s">
        <v>24</v>
      </c>
      <c r="K966" s="4">
        <v>29.209520999999999</v>
      </c>
      <c r="L966" s="2">
        <v>35029.209520999997</v>
      </c>
    </row>
    <row r="967" spans="1:12" x14ac:dyDescent="0.35">
      <c r="A967" t="s">
        <v>1006</v>
      </c>
      <c r="B967" t="s">
        <v>26</v>
      </c>
      <c r="C967" t="s">
        <v>20</v>
      </c>
      <c r="D967" t="s">
        <v>15</v>
      </c>
      <c r="E967" s="5">
        <v>795615.01</v>
      </c>
      <c r="F967" s="4">
        <v>44818</v>
      </c>
      <c r="G967" s="4">
        <v>67</v>
      </c>
      <c r="H967" s="4">
        <v>36526</v>
      </c>
      <c r="I967" t="s">
        <v>16</v>
      </c>
      <c r="J967" t="s">
        <v>24</v>
      </c>
      <c r="K967" s="4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5">
        <v>445811.34</v>
      </c>
      <c r="F968" s="4">
        <v>17622</v>
      </c>
      <c r="G968" s="4">
        <v>65</v>
      </c>
      <c r="H968" s="4">
        <v>36526</v>
      </c>
      <c r="I968" t="s">
        <v>16</v>
      </c>
      <c r="J968" t="s">
        <v>17</v>
      </c>
      <c r="K968" s="4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5">
        <v>255505.15</v>
      </c>
      <c r="F969" s="4">
        <v>0</v>
      </c>
      <c r="G969" s="4">
        <v>72</v>
      </c>
      <c r="H969" s="4">
        <v>0</v>
      </c>
      <c r="I969" t="s">
        <v>16</v>
      </c>
      <c r="J969" t="s">
        <v>17</v>
      </c>
      <c r="K969" s="4">
        <v>518.4</v>
      </c>
      <c r="L969" s="2">
        <v>35518.400000000001</v>
      </c>
    </row>
    <row r="970" spans="1:12" x14ac:dyDescent="0.35">
      <c r="A970" t="s">
        <v>1009</v>
      </c>
      <c r="B970" t="s">
        <v>26</v>
      </c>
      <c r="C970" t="s">
        <v>27</v>
      </c>
      <c r="D970" t="s">
        <v>21</v>
      </c>
      <c r="E970" s="5">
        <v>330799.90000000002</v>
      </c>
      <c r="F970" s="4">
        <v>79797</v>
      </c>
      <c r="G970" s="4">
        <v>84</v>
      </c>
      <c r="H970" s="4">
        <v>0</v>
      </c>
      <c r="I970" t="s">
        <v>28</v>
      </c>
      <c r="J970" t="s">
        <v>24</v>
      </c>
      <c r="K970" s="4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5">
        <v>845905.32</v>
      </c>
      <c r="F971" s="4">
        <v>92717</v>
      </c>
      <c r="G971" s="4">
        <v>70</v>
      </c>
      <c r="H971" s="4">
        <v>0</v>
      </c>
      <c r="I971" t="s">
        <v>16</v>
      </c>
      <c r="J971" t="s">
        <v>24</v>
      </c>
      <c r="K971" s="4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5">
        <v>1335012.0900000001</v>
      </c>
      <c r="F972" s="4">
        <v>28919</v>
      </c>
      <c r="G972" s="4">
        <v>173</v>
      </c>
      <c r="H972" s="4">
        <v>0</v>
      </c>
      <c r="I972" t="s">
        <v>16</v>
      </c>
      <c r="J972" t="s">
        <v>29</v>
      </c>
      <c r="K972" s="4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5">
        <v>493122.13</v>
      </c>
      <c r="F973" s="4">
        <v>0</v>
      </c>
      <c r="G973" s="4">
        <v>68</v>
      </c>
      <c r="H973" s="4">
        <v>0</v>
      </c>
      <c r="I973" t="s">
        <v>16</v>
      </c>
      <c r="J973" t="s">
        <v>17</v>
      </c>
      <c r="K973" s="4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5">
        <v>777683.52</v>
      </c>
      <c r="F974" s="4">
        <v>63568</v>
      </c>
      <c r="G974" s="4">
        <v>65</v>
      </c>
      <c r="H974" s="4">
        <v>0</v>
      </c>
      <c r="I974" t="s">
        <v>28</v>
      </c>
      <c r="J974" t="s">
        <v>24</v>
      </c>
      <c r="K974" s="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5">
        <v>255367.22</v>
      </c>
      <c r="F975" s="4">
        <v>73935</v>
      </c>
      <c r="G975" s="4">
        <v>64</v>
      </c>
      <c r="H975" s="4">
        <v>36526</v>
      </c>
      <c r="I975" t="s">
        <v>28</v>
      </c>
      <c r="J975" t="s">
        <v>17</v>
      </c>
      <c r="K975" s="4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5">
        <v>487646.97</v>
      </c>
      <c r="F976" s="4">
        <v>0</v>
      </c>
      <c r="G976" s="4">
        <v>66</v>
      </c>
      <c r="H976" s="4">
        <v>0</v>
      </c>
      <c r="I976" t="s">
        <v>28</v>
      </c>
      <c r="J976" t="s">
        <v>24</v>
      </c>
      <c r="K976" s="4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5">
        <v>903430.58</v>
      </c>
      <c r="F977" s="4">
        <v>18846</v>
      </c>
      <c r="G977" s="4">
        <v>115</v>
      </c>
      <c r="H977" s="4">
        <v>0</v>
      </c>
      <c r="I977" t="s">
        <v>16</v>
      </c>
      <c r="J977" t="s">
        <v>29</v>
      </c>
      <c r="K977" s="4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5">
        <v>810591.08</v>
      </c>
      <c r="F978" s="4">
        <v>38893</v>
      </c>
      <c r="G978" s="4">
        <v>103</v>
      </c>
      <c r="H978" s="4">
        <v>0</v>
      </c>
      <c r="I978" t="s">
        <v>16</v>
      </c>
      <c r="J978" t="s">
        <v>29</v>
      </c>
      <c r="K978" s="4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 s="4">
        <v>0</v>
      </c>
      <c r="G979" s="4">
        <v>153</v>
      </c>
      <c r="H979" s="4">
        <v>0</v>
      </c>
      <c r="I979" t="s">
        <v>39</v>
      </c>
      <c r="J979" t="s">
        <v>29</v>
      </c>
      <c r="K979" s="4">
        <v>1027.000029</v>
      </c>
      <c r="L979" s="2">
        <v>36027.000029000003</v>
      </c>
    </row>
    <row r="980" spans="1:12" x14ac:dyDescent="0.35">
      <c r="A980" t="s">
        <v>1019</v>
      </c>
      <c r="B980" t="s">
        <v>26</v>
      </c>
      <c r="C980" t="s">
        <v>27</v>
      </c>
      <c r="D980" t="s">
        <v>21</v>
      </c>
      <c r="E980" s="5">
        <v>1572713.06</v>
      </c>
      <c r="F980" s="4">
        <v>84824</v>
      </c>
      <c r="G980" s="4">
        <v>196</v>
      </c>
      <c r="H980" s="4">
        <v>0</v>
      </c>
      <c r="I980" t="s">
        <v>28</v>
      </c>
      <c r="J980" t="s">
        <v>29</v>
      </c>
      <c r="K980" s="4">
        <v>319.82074699999998</v>
      </c>
      <c r="L980" s="2">
        <v>35319.820746999998</v>
      </c>
    </row>
    <row r="981" spans="1:12" x14ac:dyDescent="0.35">
      <c r="A981" t="s">
        <v>1020</v>
      </c>
      <c r="B981" t="s">
        <v>26</v>
      </c>
      <c r="C981" t="s">
        <v>20</v>
      </c>
      <c r="D981" t="s">
        <v>31</v>
      </c>
      <c r="E981" s="5">
        <v>661801.64</v>
      </c>
      <c r="F981" s="4">
        <v>20068</v>
      </c>
      <c r="G981" s="4">
        <v>86</v>
      </c>
      <c r="H981" s="4">
        <v>0</v>
      </c>
      <c r="I981" t="s">
        <v>28</v>
      </c>
      <c r="J981" t="s">
        <v>17</v>
      </c>
      <c r="K981" s="4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 s="4">
        <v>0</v>
      </c>
      <c r="G982" s="4">
        <v>125</v>
      </c>
      <c r="H982" s="4">
        <v>0</v>
      </c>
      <c r="I982" t="s">
        <v>28</v>
      </c>
      <c r="J982" t="s">
        <v>29</v>
      </c>
      <c r="K982" s="4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5">
        <v>1016936.98</v>
      </c>
      <c r="F983" s="4">
        <v>0</v>
      </c>
      <c r="G983" s="4">
        <v>135</v>
      </c>
      <c r="H983" s="4">
        <v>0</v>
      </c>
      <c r="I983" t="s">
        <v>16</v>
      </c>
      <c r="J983" t="s">
        <v>78</v>
      </c>
      <c r="K983" s="4">
        <v>648</v>
      </c>
      <c r="L983" s="2">
        <v>35648</v>
      </c>
    </row>
    <row r="984" spans="1:12" x14ac:dyDescent="0.35">
      <c r="A984" t="s">
        <v>1023</v>
      </c>
      <c r="B984" t="s">
        <v>26</v>
      </c>
      <c r="C984" t="s">
        <v>27</v>
      </c>
      <c r="D984" t="s">
        <v>21</v>
      </c>
      <c r="E984" s="5">
        <v>832307.4</v>
      </c>
      <c r="F984" s="4">
        <v>97245</v>
      </c>
      <c r="G984" s="4">
        <v>70</v>
      </c>
      <c r="H984" s="4">
        <v>0</v>
      </c>
      <c r="I984" t="s">
        <v>16</v>
      </c>
      <c r="J984" t="s">
        <v>17</v>
      </c>
      <c r="K984" s="4">
        <v>4.1105850000000004</v>
      </c>
      <c r="L984" s="2">
        <v>35004.110585000002</v>
      </c>
    </row>
    <row r="985" spans="1:12" x14ac:dyDescent="0.35">
      <c r="A985" t="s">
        <v>1024</v>
      </c>
      <c r="B985" t="s">
        <v>26</v>
      </c>
      <c r="C985" t="s">
        <v>20</v>
      </c>
      <c r="D985" t="s">
        <v>35</v>
      </c>
      <c r="E985" s="5">
        <v>241776</v>
      </c>
      <c r="F985" s="4">
        <v>51808</v>
      </c>
      <c r="G985" s="4">
        <v>61</v>
      </c>
      <c r="H985" s="4">
        <v>36526</v>
      </c>
      <c r="I985" t="s">
        <v>16</v>
      </c>
      <c r="J985" t="s">
        <v>17</v>
      </c>
      <c r="K985" s="4">
        <v>351.14990399999999</v>
      </c>
      <c r="L985" s="2">
        <v>35351.149903999998</v>
      </c>
    </row>
    <row r="986" spans="1:12" x14ac:dyDescent="0.35">
      <c r="A986" t="s">
        <v>1025</v>
      </c>
      <c r="B986" t="s">
        <v>26</v>
      </c>
      <c r="C986" t="s">
        <v>27</v>
      </c>
      <c r="D986" t="s">
        <v>21</v>
      </c>
      <c r="E986" s="5">
        <v>804487.24</v>
      </c>
      <c r="F986" s="4">
        <v>71391</v>
      </c>
      <c r="G986" s="4">
        <v>67</v>
      </c>
      <c r="H986" s="4">
        <v>0</v>
      </c>
      <c r="I986" t="s">
        <v>16</v>
      </c>
      <c r="J986" t="s">
        <v>17</v>
      </c>
      <c r="K986" s="4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 s="4">
        <v>0</v>
      </c>
      <c r="G987" s="4">
        <v>73</v>
      </c>
      <c r="H987" s="4">
        <v>0</v>
      </c>
      <c r="I987" t="s">
        <v>16</v>
      </c>
      <c r="J987" t="s">
        <v>24</v>
      </c>
      <c r="K987" s="4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5">
        <v>694752.4</v>
      </c>
      <c r="F988" s="4">
        <v>0</v>
      </c>
      <c r="G988" s="4">
        <v>100</v>
      </c>
      <c r="H988" s="4">
        <v>0</v>
      </c>
      <c r="I988" t="s">
        <v>16</v>
      </c>
      <c r="J988" t="s">
        <v>29</v>
      </c>
      <c r="K988" s="4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5">
        <v>584741.52</v>
      </c>
      <c r="F989" s="4">
        <v>23496</v>
      </c>
      <c r="G989" s="4">
        <v>77</v>
      </c>
      <c r="H989" s="4">
        <v>0</v>
      </c>
      <c r="I989" t="s">
        <v>39</v>
      </c>
      <c r="J989" t="s">
        <v>17</v>
      </c>
      <c r="K989" s="4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5"/>
      <c r="F990" s="4">
        <v>55561</v>
      </c>
      <c r="G990" s="4">
        <v>63</v>
      </c>
      <c r="H990" s="4">
        <v>0</v>
      </c>
      <c r="I990" t="s">
        <v>16</v>
      </c>
      <c r="J990" t="s">
        <v>17</v>
      </c>
      <c r="K990" s="4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5">
        <v>472478.61</v>
      </c>
      <c r="F991" s="4">
        <v>23986</v>
      </c>
      <c r="G991" s="4">
        <v>119</v>
      </c>
      <c r="H991" s="4">
        <v>0</v>
      </c>
      <c r="I991" t="s">
        <v>28</v>
      </c>
      <c r="J991" t="s">
        <v>29</v>
      </c>
      <c r="K991" s="4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5">
        <v>279022.8</v>
      </c>
      <c r="F992" s="4">
        <v>22974</v>
      </c>
      <c r="G992" s="4">
        <v>71</v>
      </c>
      <c r="H992" s="4">
        <v>0</v>
      </c>
      <c r="I992" t="s">
        <v>16</v>
      </c>
      <c r="J992" t="s">
        <v>17</v>
      </c>
      <c r="K992" s="4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5">
        <v>2153133.2799999998</v>
      </c>
      <c r="F993" s="4">
        <v>0</v>
      </c>
      <c r="G993" s="4">
        <v>101</v>
      </c>
      <c r="H993" s="4">
        <v>0</v>
      </c>
      <c r="I993" t="s">
        <v>16</v>
      </c>
      <c r="J993" t="s">
        <v>17</v>
      </c>
      <c r="K993" s="4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5">
        <v>1262283.27</v>
      </c>
      <c r="F994" s="4">
        <v>61844</v>
      </c>
      <c r="G994" s="4">
        <v>106</v>
      </c>
      <c r="H994" s="4">
        <v>0</v>
      </c>
      <c r="I994" t="s">
        <v>16</v>
      </c>
      <c r="J994" t="s">
        <v>78</v>
      </c>
      <c r="K994" s="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5">
        <v>2017196.15</v>
      </c>
      <c r="F995" s="4">
        <v>24804</v>
      </c>
      <c r="G995" s="4">
        <v>73</v>
      </c>
      <c r="H995" s="4">
        <v>0</v>
      </c>
      <c r="I995" t="s">
        <v>16</v>
      </c>
      <c r="J995" t="s">
        <v>24</v>
      </c>
      <c r="K995" s="4">
        <v>350.4</v>
      </c>
      <c r="L995" s="2">
        <v>35350.400000000001</v>
      </c>
    </row>
    <row r="996" spans="1:12" x14ac:dyDescent="0.35">
      <c r="A996" t="s">
        <v>1035</v>
      </c>
      <c r="B996" t="s">
        <v>26</v>
      </c>
      <c r="C996" t="s">
        <v>20</v>
      </c>
      <c r="D996" t="s">
        <v>21</v>
      </c>
      <c r="E996" s="5">
        <v>1646436.59</v>
      </c>
      <c r="F996" s="4">
        <v>27760</v>
      </c>
      <c r="G996" s="4">
        <v>104</v>
      </c>
      <c r="H996" s="4">
        <v>0</v>
      </c>
      <c r="I996" t="s">
        <v>16</v>
      </c>
      <c r="J996" t="s">
        <v>29</v>
      </c>
      <c r="K996" s="4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5">
        <v>559538.99</v>
      </c>
      <c r="F997" s="4">
        <v>74454</v>
      </c>
      <c r="G997" s="4">
        <v>71</v>
      </c>
      <c r="H997" s="4">
        <v>0</v>
      </c>
      <c r="I997" t="s">
        <v>16</v>
      </c>
      <c r="J997" t="s">
        <v>17</v>
      </c>
      <c r="K997" s="4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5">
        <v>417068.73</v>
      </c>
      <c r="F998" s="4">
        <v>29462</v>
      </c>
      <c r="G998" s="4">
        <v>107</v>
      </c>
      <c r="H998" s="4">
        <v>36526</v>
      </c>
      <c r="I998" t="s">
        <v>16</v>
      </c>
      <c r="J998" t="s">
        <v>29</v>
      </c>
      <c r="K998" s="4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5">
        <v>266544.71000000002</v>
      </c>
      <c r="F999" s="4">
        <v>52266</v>
      </c>
      <c r="G999" s="4">
        <v>68</v>
      </c>
      <c r="H999" s="4">
        <v>0</v>
      </c>
      <c r="I999" t="s">
        <v>28</v>
      </c>
      <c r="J999" t="s">
        <v>24</v>
      </c>
      <c r="K999" s="4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5">
        <v>709891.41</v>
      </c>
      <c r="F1000" s="4">
        <v>0</v>
      </c>
      <c r="G1000" s="4">
        <v>70</v>
      </c>
      <c r="H1000" s="4">
        <v>0</v>
      </c>
      <c r="I1000" t="s">
        <v>16</v>
      </c>
      <c r="J1000" t="s">
        <v>24</v>
      </c>
      <c r="K1000" s="4">
        <v>349.78304600000001</v>
      </c>
      <c r="L1000" s="2">
        <v>35349.783045999997</v>
      </c>
    </row>
    <row r="1001" spans="1:12" x14ac:dyDescent="0.35">
      <c r="A1001" t="s">
        <v>1040</v>
      </c>
      <c r="B1001" t="s">
        <v>26</v>
      </c>
      <c r="C1001" t="s">
        <v>27</v>
      </c>
      <c r="D1001" t="s">
        <v>80</v>
      </c>
      <c r="E1001" s="5">
        <v>397134.51</v>
      </c>
      <c r="F1001" s="4">
        <v>23599</v>
      </c>
      <c r="G1001" s="4">
        <v>103</v>
      </c>
      <c r="H1001" s="4">
        <v>0</v>
      </c>
      <c r="I1001" t="s">
        <v>28</v>
      </c>
      <c r="J1001" t="s">
        <v>29</v>
      </c>
      <c r="K1001" s="4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5">
        <v>552821.28</v>
      </c>
      <c r="F1002" s="4">
        <v>36088</v>
      </c>
      <c r="G1002" s="4">
        <v>72</v>
      </c>
      <c r="H1002" s="4">
        <v>0</v>
      </c>
      <c r="I1002" t="s">
        <v>16</v>
      </c>
      <c r="J1002" t="s">
        <v>17</v>
      </c>
      <c r="K1002" s="4">
        <v>345.6</v>
      </c>
      <c r="L1002" s="2">
        <v>35345.599999999999</v>
      </c>
    </row>
    <row r="1003" spans="1:12" x14ac:dyDescent="0.35">
      <c r="A1003" t="s">
        <v>1042</v>
      </c>
      <c r="B1003" t="s">
        <v>26</v>
      </c>
      <c r="C1003" t="s">
        <v>20</v>
      </c>
      <c r="D1003" t="s">
        <v>31</v>
      </c>
      <c r="E1003" s="5">
        <v>833899.58</v>
      </c>
      <c r="F1003" s="4">
        <v>70534</v>
      </c>
      <c r="G1003" s="4">
        <v>104</v>
      </c>
      <c r="H1003" s="4">
        <v>0</v>
      </c>
      <c r="I1003" t="s">
        <v>16</v>
      </c>
      <c r="J1003" t="s">
        <v>17</v>
      </c>
      <c r="K1003" s="4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 s="4">
        <v>27398</v>
      </c>
      <c r="G1004" s="4">
        <v>125</v>
      </c>
      <c r="H1004" s="4">
        <v>36526</v>
      </c>
      <c r="I1004" t="s">
        <v>16</v>
      </c>
      <c r="J1004" t="s">
        <v>29</v>
      </c>
      <c r="K1004" s="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5">
        <v>544855.52</v>
      </c>
      <c r="F1005" s="4">
        <v>85296</v>
      </c>
      <c r="G1005" s="4">
        <v>68</v>
      </c>
      <c r="H1005" s="4">
        <v>0</v>
      </c>
      <c r="I1005" t="s">
        <v>16</v>
      </c>
      <c r="J1005" t="s">
        <v>17</v>
      </c>
      <c r="K1005" s="4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5">
        <v>1080806.6000000001</v>
      </c>
      <c r="F1006" s="4">
        <v>31063</v>
      </c>
      <c r="G1006" s="4">
        <v>92</v>
      </c>
      <c r="H1006" s="4">
        <v>0</v>
      </c>
      <c r="I1006" t="s">
        <v>16</v>
      </c>
      <c r="J1006" t="s">
        <v>17</v>
      </c>
      <c r="K1006" s="4">
        <v>441.6</v>
      </c>
      <c r="L1006" s="2">
        <v>35441.599999999999</v>
      </c>
    </row>
    <row r="1007" spans="1:12" x14ac:dyDescent="0.35">
      <c r="A1007" t="s">
        <v>1046</v>
      </c>
      <c r="B1007" t="s">
        <v>26</v>
      </c>
      <c r="C1007" t="s">
        <v>27</v>
      </c>
      <c r="D1007" t="s">
        <v>21</v>
      </c>
      <c r="E1007" s="5">
        <v>618509.65</v>
      </c>
      <c r="F1007" s="4">
        <v>0</v>
      </c>
      <c r="G1007" s="4">
        <v>92</v>
      </c>
      <c r="H1007" s="4">
        <v>0</v>
      </c>
      <c r="I1007" t="s">
        <v>16</v>
      </c>
      <c r="J1007" t="s">
        <v>24</v>
      </c>
      <c r="K1007" s="4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 s="4">
        <v>52367</v>
      </c>
      <c r="G1008" s="4">
        <v>81</v>
      </c>
      <c r="H1008" s="4">
        <v>0</v>
      </c>
      <c r="I1008" t="s">
        <v>16</v>
      </c>
      <c r="J1008" t="s">
        <v>17</v>
      </c>
      <c r="K1008" s="4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5">
        <v>548010.41</v>
      </c>
      <c r="F1009" s="4">
        <v>58651</v>
      </c>
      <c r="G1009" s="4">
        <v>71</v>
      </c>
      <c r="H1009" s="4">
        <v>0</v>
      </c>
      <c r="I1009" t="s">
        <v>16</v>
      </c>
      <c r="J1009" t="s">
        <v>17</v>
      </c>
      <c r="K1009" s="4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5">
        <v>2298615.39</v>
      </c>
      <c r="F1010" s="4">
        <v>84831</v>
      </c>
      <c r="G1010" s="4">
        <v>192</v>
      </c>
      <c r="H1010" s="4">
        <v>0</v>
      </c>
      <c r="I1010" t="s">
        <v>39</v>
      </c>
      <c r="J1010" t="s">
        <v>78</v>
      </c>
      <c r="K1010" s="4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5">
        <v>1310792.5900000001</v>
      </c>
      <c r="F1011" s="4">
        <v>49088</v>
      </c>
      <c r="G1011" s="4">
        <v>114</v>
      </c>
      <c r="H1011" s="4">
        <v>36526</v>
      </c>
      <c r="I1011" t="s">
        <v>28</v>
      </c>
      <c r="J1011" t="s">
        <v>29</v>
      </c>
      <c r="K1011" s="4">
        <v>547.20000000000005</v>
      </c>
      <c r="L1011" s="2">
        <v>35547.199999999997</v>
      </c>
    </row>
    <row r="1012" spans="1:12" x14ac:dyDescent="0.35">
      <c r="A1012" t="s">
        <v>1051</v>
      </c>
      <c r="B1012" t="s">
        <v>26</v>
      </c>
      <c r="C1012" t="s">
        <v>20</v>
      </c>
      <c r="D1012" t="s">
        <v>35</v>
      </c>
      <c r="E1012" s="5">
        <v>746292.63</v>
      </c>
      <c r="F1012" s="4">
        <v>70263</v>
      </c>
      <c r="G1012" s="4">
        <v>93</v>
      </c>
      <c r="H1012" s="4">
        <v>0</v>
      </c>
      <c r="I1012" t="s">
        <v>28</v>
      </c>
      <c r="J1012" t="s">
        <v>24</v>
      </c>
      <c r="K1012" s="4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5">
        <v>1146399.1000000001</v>
      </c>
      <c r="F1013" s="4">
        <v>45354</v>
      </c>
      <c r="G1013" s="4">
        <v>285</v>
      </c>
      <c r="H1013" s="4">
        <v>0</v>
      </c>
      <c r="I1013" t="s">
        <v>16</v>
      </c>
      <c r="J1013" t="s">
        <v>65</v>
      </c>
      <c r="K1013" s="4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5">
        <v>723613.25</v>
      </c>
      <c r="F1014" s="4">
        <v>0</v>
      </c>
      <c r="G1014" s="4">
        <v>63</v>
      </c>
      <c r="H1014" s="4">
        <v>0</v>
      </c>
      <c r="I1014" t="s">
        <v>16</v>
      </c>
      <c r="J1014" t="s">
        <v>17</v>
      </c>
      <c r="K1014" s="4">
        <v>383.36375800000002</v>
      </c>
      <c r="L1014" s="2">
        <v>35383.363758</v>
      </c>
    </row>
    <row r="1015" spans="1:12" x14ac:dyDescent="0.35">
      <c r="A1015" t="s">
        <v>1054</v>
      </c>
      <c r="B1015" t="s">
        <v>26</v>
      </c>
      <c r="C1015" t="s">
        <v>20</v>
      </c>
      <c r="D1015" t="s">
        <v>21</v>
      </c>
      <c r="E1015" s="5">
        <v>623268.79</v>
      </c>
      <c r="F1015" s="4">
        <v>28334</v>
      </c>
      <c r="G1015" s="4">
        <v>83</v>
      </c>
      <c r="H1015" s="4">
        <v>0</v>
      </c>
      <c r="I1015" t="s">
        <v>39</v>
      </c>
      <c r="J1015" t="s">
        <v>17</v>
      </c>
      <c r="K1015" s="4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5">
        <v>2839332.99</v>
      </c>
      <c r="F1016" s="4">
        <v>38772</v>
      </c>
      <c r="G1016" s="4">
        <v>90</v>
      </c>
      <c r="H1016" s="4">
        <v>0</v>
      </c>
      <c r="I1016" t="s">
        <v>16</v>
      </c>
      <c r="J1016" t="s">
        <v>17</v>
      </c>
      <c r="K1016" s="4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5">
        <v>374675.16</v>
      </c>
      <c r="F1017" s="4">
        <v>41479</v>
      </c>
      <c r="G1017" s="4">
        <v>94</v>
      </c>
      <c r="H1017" s="4">
        <v>36526</v>
      </c>
      <c r="I1017" t="s">
        <v>16</v>
      </c>
      <c r="J1017" t="s">
        <v>24</v>
      </c>
      <c r="K1017" s="4">
        <v>19.575683000000001</v>
      </c>
      <c r="L1017" s="2">
        <v>35019.575683000003</v>
      </c>
    </row>
    <row r="1018" spans="1:12" x14ac:dyDescent="0.35">
      <c r="A1018" t="s">
        <v>1057</v>
      </c>
      <c r="B1018" t="s">
        <v>26</v>
      </c>
      <c r="C1018" t="s">
        <v>27</v>
      </c>
      <c r="D1018" t="s">
        <v>21</v>
      </c>
      <c r="E1018" s="5">
        <v>2156933.73</v>
      </c>
      <c r="F1018" s="4">
        <v>23909</v>
      </c>
      <c r="G1018" s="4">
        <v>119</v>
      </c>
      <c r="H1018" s="4">
        <v>0</v>
      </c>
      <c r="I1018" t="s">
        <v>16</v>
      </c>
      <c r="J1018" t="s">
        <v>29</v>
      </c>
      <c r="K1018" s="4">
        <v>571.20000000000005</v>
      </c>
      <c r="L1018" s="2">
        <v>35571.199999999997</v>
      </c>
    </row>
    <row r="1019" spans="1:12" x14ac:dyDescent="0.35">
      <c r="A1019" t="s">
        <v>1058</v>
      </c>
      <c r="B1019" t="s">
        <v>26</v>
      </c>
      <c r="C1019" t="s">
        <v>27</v>
      </c>
      <c r="D1019" t="s">
        <v>35</v>
      </c>
      <c r="E1019" s="5">
        <v>501208.37</v>
      </c>
      <c r="F1019" s="4">
        <v>48328</v>
      </c>
      <c r="G1019" s="4">
        <v>63</v>
      </c>
      <c r="H1019" s="4">
        <v>0</v>
      </c>
      <c r="I1019" t="s">
        <v>16</v>
      </c>
      <c r="J1019" t="s">
        <v>24</v>
      </c>
      <c r="K1019" s="4">
        <v>108.138715</v>
      </c>
      <c r="L1019" s="2">
        <v>35108.138715000001</v>
      </c>
    </row>
    <row r="1020" spans="1:12" x14ac:dyDescent="0.35">
      <c r="A1020" t="s">
        <v>1059</v>
      </c>
      <c r="B1020" t="s">
        <v>26</v>
      </c>
      <c r="C1020" t="s">
        <v>27</v>
      </c>
      <c r="D1020" t="s">
        <v>31</v>
      </c>
      <c r="E1020" s="5">
        <v>337185.84</v>
      </c>
      <c r="F1020" s="4">
        <v>86689</v>
      </c>
      <c r="G1020" s="4">
        <v>85</v>
      </c>
      <c r="H1020" s="4">
        <v>0</v>
      </c>
      <c r="I1020" t="s">
        <v>28</v>
      </c>
      <c r="J1020" t="s">
        <v>24</v>
      </c>
      <c r="K1020" s="4">
        <v>408</v>
      </c>
      <c r="L1020" s="2">
        <v>35408</v>
      </c>
    </row>
    <row r="1021" spans="1:12" x14ac:dyDescent="0.35">
      <c r="A1021" t="s">
        <v>1060</v>
      </c>
      <c r="B1021" t="s">
        <v>26</v>
      </c>
      <c r="C1021" t="s">
        <v>27</v>
      </c>
      <c r="D1021" t="s">
        <v>21</v>
      </c>
      <c r="E1021" s="5">
        <v>386477.68</v>
      </c>
      <c r="F1021" s="4">
        <v>24204</v>
      </c>
      <c r="G1021" s="4">
        <v>99</v>
      </c>
      <c r="H1021" s="4">
        <v>36526</v>
      </c>
      <c r="I1021" t="s">
        <v>16</v>
      </c>
      <c r="J1021" t="s">
        <v>17</v>
      </c>
      <c r="K1021" s="4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 s="4">
        <v>25943</v>
      </c>
      <c r="G1022" s="4">
        <v>110</v>
      </c>
      <c r="H1022" s="4">
        <v>0</v>
      </c>
      <c r="I1022" t="s">
        <v>28</v>
      </c>
      <c r="J1022" t="s">
        <v>24</v>
      </c>
      <c r="K1022" s="4">
        <v>1067.333126</v>
      </c>
      <c r="L1022" s="2">
        <v>36067.333125999998</v>
      </c>
    </row>
    <row r="1023" spans="1:12" x14ac:dyDescent="0.35">
      <c r="A1023" t="s">
        <v>1062</v>
      </c>
      <c r="B1023" t="s">
        <v>26</v>
      </c>
      <c r="C1023" t="s">
        <v>27</v>
      </c>
      <c r="D1023" t="s">
        <v>31</v>
      </c>
      <c r="E1023" s="5">
        <v>515607.27</v>
      </c>
      <c r="F1023" s="4">
        <v>0</v>
      </c>
      <c r="G1023" s="4">
        <v>73</v>
      </c>
      <c r="H1023" s="4">
        <v>0</v>
      </c>
      <c r="I1023" t="s">
        <v>16</v>
      </c>
      <c r="J1023" t="s">
        <v>17</v>
      </c>
      <c r="K1023" s="4">
        <v>807.94729199999995</v>
      </c>
      <c r="L1023" s="2">
        <v>35807.947291999997</v>
      </c>
    </row>
    <row r="1024" spans="1:12" x14ac:dyDescent="0.35">
      <c r="A1024" t="s">
        <v>1063</v>
      </c>
      <c r="B1024" t="s">
        <v>26</v>
      </c>
      <c r="C1024" t="s">
        <v>27</v>
      </c>
      <c r="D1024" t="s">
        <v>35</v>
      </c>
      <c r="E1024" s="5">
        <v>366737.5</v>
      </c>
      <c r="F1024" s="4">
        <v>62375</v>
      </c>
      <c r="G1024" s="4">
        <v>92</v>
      </c>
      <c r="H1024" s="4">
        <v>0</v>
      </c>
      <c r="I1024" t="s">
        <v>16</v>
      </c>
      <c r="J1024" t="s">
        <v>24</v>
      </c>
      <c r="K1024" s="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26</v>
      </c>
      <c r="C1025" t="s">
        <v>20</v>
      </c>
      <c r="D1025" t="s">
        <v>31</v>
      </c>
      <c r="E1025" s="5">
        <v>783568.35</v>
      </c>
      <c r="F1025" s="4">
        <v>0</v>
      </c>
      <c r="G1025" s="4">
        <v>71</v>
      </c>
      <c r="H1025" s="4">
        <v>0</v>
      </c>
      <c r="I1025" t="s">
        <v>28</v>
      </c>
      <c r="J1025" t="s">
        <v>17</v>
      </c>
      <c r="K1025" s="4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5">
        <v>1456726.84</v>
      </c>
      <c r="F1026" s="4">
        <v>0</v>
      </c>
      <c r="G1026" s="4">
        <v>148</v>
      </c>
      <c r="H1026" s="4">
        <v>0</v>
      </c>
      <c r="I1026" t="s">
        <v>16</v>
      </c>
      <c r="J1026" t="s">
        <v>29</v>
      </c>
      <c r="K1026" s="4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5">
        <v>1017133.9</v>
      </c>
      <c r="F1027" s="4">
        <v>70200</v>
      </c>
      <c r="G1027" s="4">
        <v>65</v>
      </c>
      <c r="H1027" s="4">
        <v>0</v>
      </c>
      <c r="I1027" t="s">
        <v>28</v>
      </c>
      <c r="J1027" t="s">
        <v>17</v>
      </c>
      <c r="K1027" s="4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5">
        <v>413577.52</v>
      </c>
      <c r="F1028" s="4">
        <v>0</v>
      </c>
      <c r="G1028" s="4">
        <v>112</v>
      </c>
      <c r="H1028" s="4">
        <v>0</v>
      </c>
      <c r="I1028" t="s">
        <v>39</v>
      </c>
      <c r="J1028" t="s">
        <v>17</v>
      </c>
      <c r="K1028" s="4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5">
        <v>551149.11</v>
      </c>
      <c r="F1029" s="4">
        <v>79027</v>
      </c>
      <c r="G1029" s="4">
        <v>70</v>
      </c>
      <c r="H1029" s="4">
        <v>0</v>
      </c>
      <c r="I1029" t="s">
        <v>28</v>
      </c>
      <c r="J1029" t="s">
        <v>17</v>
      </c>
      <c r="K1029" s="4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5">
        <v>1131424.3899999999</v>
      </c>
      <c r="F1030" s="4">
        <v>62935</v>
      </c>
      <c r="G1030" s="4">
        <v>141</v>
      </c>
      <c r="H1030" s="4">
        <v>0</v>
      </c>
      <c r="I1030" t="s">
        <v>16</v>
      </c>
      <c r="J1030" t="s">
        <v>78</v>
      </c>
      <c r="K1030" s="4">
        <v>232.24232599999999</v>
      </c>
      <c r="L1030" s="2">
        <v>35232.242326</v>
      </c>
    </row>
    <row r="1031" spans="1:12" x14ac:dyDescent="0.35">
      <c r="A1031" t="s">
        <v>1070</v>
      </c>
      <c r="B1031" t="s">
        <v>26</v>
      </c>
      <c r="C1031" t="s">
        <v>20</v>
      </c>
      <c r="D1031" t="s">
        <v>31</v>
      </c>
      <c r="E1031" s="5">
        <v>541461.73</v>
      </c>
      <c r="F1031" s="4">
        <v>26893</v>
      </c>
      <c r="G1031" s="4">
        <v>68</v>
      </c>
      <c r="H1031" s="4">
        <v>0</v>
      </c>
      <c r="I1031" t="s">
        <v>16</v>
      </c>
      <c r="J1031" t="s">
        <v>17</v>
      </c>
      <c r="K1031" s="4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5">
        <v>742159.35</v>
      </c>
      <c r="F1032" s="4">
        <v>47406</v>
      </c>
      <c r="G1032" s="4">
        <v>94</v>
      </c>
      <c r="H1032" s="4">
        <v>36526</v>
      </c>
      <c r="I1032" t="s">
        <v>16</v>
      </c>
      <c r="J1032" t="s">
        <v>17</v>
      </c>
      <c r="K1032" s="4">
        <v>287.14980700000001</v>
      </c>
      <c r="L1032" s="2">
        <v>35287.149807000002</v>
      </c>
    </row>
    <row r="1033" spans="1:12" x14ac:dyDescent="0.35">
      <c r="A1033" t="s">
        <v>1072</v>
      </c>
      <c r="B1033" t="s">
        <v>26</v>
      </c>
      <c r="C1033" t="s">
        <v>27</v>
      </c>
      <c r="D1033" t="s">
        <v>21</v>
      </c>
      <c r="E1033" s="5">
        <v>445811.34</v>
      </c>
      <c r="F1033" s="4">
        <v>17622</v>
      </c>
      <c r="G1033" s="4">
        <v>65</v>
      </c>
      <c r="H1033" s="4">
        <v>36526</v>
      </c>
      <c r="I1033" t="s">
        <v>16</v>
      </c>
      <c r="J1033" t="s">
        <v>17</v>
      </c>
      <c r="K1033" s="4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5">
        <v>1447612.49</v>
      </c>
      <c r="F1034" s="4">
        <v>27572</v>
      </c>
      <c r="G1034" s="4">
        <v>124</v>
      </c>
      <c r="H1034" s="4">
        <v>0</v>
      </c>
      <c r="I1034" t="s">
        <v>28</v>
      </c>
      <c r="J1034" t="s">
        <v>29</v>
      </c>
      <c r="K1034" s="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5">
        <v>493688.84</v>
      </c>
      <c r="F1035" s="4">
        <v>0</v>
      </c>
      <c r="G1035" s="4">
        <v>72</v>
      </c>
      <c r="H1035" s="4">
        <v>36557</v>
      </c>
      <c r="I1035" t="s">
        <v>16</v>
      </c>
      <c r="J1035" t="s">
        <v>24</v>
      </c>
      <c r="K1035" s="4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5">
        <v>452527.65</v>
      </c>
      <c r="F1036" s="4">
        <v>32802</v>
      </c>
      <c r="G1036" s="4">
        <v>114</v>
      </c>
      <c r="H1036" s="4">
        <v>0</v>
      </c>
      <c r="I1036" t="s">
        <v>16</v>
      </c>
      <c r="J1036" t="s">
        <v>29</v>
      </c>
      <c r="K1036" s="4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5">
        <v>558176.13</v>
      </c>
      <c r="F1037" s="4">
        <v>62739</v>
      </c>
      <c r="G1037" s="4">
        <v>70</v>
      </c>
      <c r="H1037" s="4">
        <v>0</v>
      </c>
      <c r="I1037" t="s">
        <v>16</v>
      </c>
      <c r="J1037" t="s">
        <v>24</v>
      </c>
      <c r="K1037" s="4">
        <v>239.32857100000001</v>
      </c>
      <c r="L1037" s="2">
        <v>35239.328570999998</v>
      </c>
    </row>
    <row r="1038" spans="1:12" x14ac:dyDescent="0.35">
      <c r="A1038" t="s">
        <v>1077</v>
      </c>
      <c r="B1038" t="s">
        <v>26</v>
      </c>
      <c r="C1038" t="s">
        <v>20</v>
      </c>
      <c r="D1038" t="s">
        <v>21</v>
      </c>
      <c r="E1038" s="5">
        <v>1413434.74</v>
      </c>
      <c r="F1038" s="4">
        <v>90844</v>
      </c>
      <c r="G1038" s="4">
        <v>118</v>
      </c>
      <c r="H1038" s="4">
        <v>0</v>
      </c>
      <c r="I1038" t="s">
        <v>16</v>
      </c>
      <c r="J1038" t="s">
        <v>29</v>
      </c>
      <c r="K1038" s="4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5">
        <v>2472318.31</v>
      </c>
      <c r="F1039" s="4">
        <v>44685</v>
      </c>
      <c r="G1039" s="4">
        <v>69</v>
      </c>
      <c r="H1039" s="4">
        <v>0</v>
      </c>
      <c r="I1039" t="s">
        <v>16</v>
      </c>
      <c r="J1039" t="s">
        <v>17</v>
      </c>
      <c r="K1039" s="4">
        <v>331.2</v>
      </c>
      <c r="L1039" s="2">
        <v>35331.199999999997</v>
      </c>
    </row>
    <row r="1040" spans="1:12" x14ac:dyDescent="0.35">
      <c r="A1040" t="s">
        <v>1079</v>
      </c>
      <c r="B1040" t="s">
        <v>26</v>
      </c>
      <c r="C1040" t="s">
        <v>20</v>
      </c>
      <c r="D1040" t="s">
        <v>21</v>
      </c>
      <c r="E1040" s="5">
        <v>283806.78000000003</v>
      </c>
      <c r="F1040" s="4">
        <v>0</v>
      </c>
      <c r="G1040" s="4">
        <v>80</v>
      </c>
      <c r="H1040" s="4">
        <v>0</v>
      </c>
      <c r="I1040" t="s">
        <v>16</v>
      </c>
      <c r="J1040" t="s">
        <v>17</v>
      </c>
      <c r="K1040" s="4">
        <v>336.50961000000001</v>
      </c>
      <c r="L1040" s="2">
        <v>35336.509610000001</v>
      </c>
    </row>
    <row r="1041" spans="1:12" x14ac:dyDescent="0.35">
      <c r="A1041" t="s">
        <v>1080</v>
      </c>
      <c r="B1041" t="s">
        <v>26</v>
      </c>
      <c r="C1041" t="s">
        <v>20</v>
      </c>
      <c r="D1041" t="s">
        <v>31</v>
      </c>
      <c r="E1041" s="5">
        <v>384848.36</v>
      </c>
      <c r="F1041" s="4">
        <v>42589</v>
      </c>
      <c r="G1041" s="4">
        <v>98</v>
      </c>
      <c r="H1041" s="4">
        <v>0</v>
      </c>
      <c r="I1041" t="s">
        <v>28</v>
      </c>
      <c r="J1041" t="s">
        <v>17</v>
      </c>
      <c r="K1041" s="4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5">
        <v>1950447.39</v>
      </c>
      <c r="F1042" s="4">
        <v>0</v>
      </c>
      <c r="G1042" s="4">
        <v>72</v>
      </c>
      <c r="H1042" s="4">
        <v>0</v>
      </c>
      <c r="I1042" t="s">
        <v>16</v>
      </c>
      <c r="J1042" t="s">
        <v>17</v>
      </c>
      <c r="K1042" s="4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21</v>
      </c>
      <c r="E1043" s="5">
        <v>248004.59</v>
      </c>
      <c r="F1043" s="4">
        <v>93383</v>
      </c>
      <c r="G1043" s="4">
        <v>62</v>
      </c>
      <c r="H1043" s="4">
        <v>0</v>
      </c>
      <c r="I1043" t="s">
        <v>28</v>
      </c>
      <c r="J1043" t="s">
        <v>24</v>
      </c>
      <c r="K1043" s="4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5">
        <v>436137.29</v>
      </c>
      <c r="F1044" s="4">
        <v>79583</v>
      </c>
      <c r="G1044" s="4">
        <v>109</v>
      </c>
      <c r="H1044" s="4">
        <v>36557</v>
      </c>
      <c r="I1044" t="s">
        <v>16</v>
      </c>
      <c r="J1044" t="s">
        <v>17</v>
      </c>
      <c r="K1044" s="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5">
        <v>252907.75</v>
      </c>
      <c r="F1045" s="4">
        <v>89129</v>
      </c>
      <c r="G1045" s="4">
        <v>64</v>
      </c>
      <c r="H1045" s="4">
        <v>0</v>
      </c>
      <c r="I1045" t="s">
        <v>16</v>
      </c>
      <c r="J1045" t="s">
        <v>17</v>
      </c>
      <c r="K1045" s="4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5">
        <v>250444.48</v>
      </c>
      <c r="F1046" s="4">
        <v>0</v>
      </c>
      <c r="G1046" s="4">
        <v>69</v>
      </c>
      <c r="H1046" s="4">
        <v>0</v>
      </c>
      <c r="I1046" t="s">
        <v>16</v>
      </c>
      <c r="J1046" t="s">
        <v>17</v>
      </c>
      <c r="K1046" s="4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5">
        <v>864970.06</v>
      </c>
      <c r="F1047" s="4">
        <v>94389</v>
      </c>
      <c r="G1047" s="4">
        <v>107</v>
      </c>
      <c r="H1047" s="4">
        <v>0</v>
      </c>
      <c r="I1047" t="s">
        <v>28</v>
      </c>
      <c r="J1047" t="s">
        <v>29</v>
      </c>
      <c r="K1047" s="4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5">
        <v>1366835.53</v>
      </c>
      <c r="F1048" s="4">
        <v>0</v>
      </c>
      <c r="G1048" s="4">
        <v>197</v>
      </c>
      <c r="H1048" s="4">
        <v>0</v>
      </c>
      <c r="I1048" t="s">
        <v>16</v>
      </c>
      <c r="J1048" t="s">
        <v>29</v>
      </c>
      <c r="K1048" s="4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5">
        <v>2063508.46</v>
      </c>
      <c r="F1049" s="4">
        <v>84106</v>
      </c>
      <c r="G1049" s="4">
        <v>64</v>
      </c>
      <c r="H1049" s="4">
        <v>0</v>
      </c>
      <c r="I1049" t="s">
        <v>16</v>
      </c>
      <c r="J1049" t="s">
        <v>24</v>
      </c>
      <c r="K1049" s="4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5">
        <v>251753.36</v>
      </c>
      <c r="F1050" s="4">
        <v>0</v>
      </c>
      <c r="G1050" s="4">
        <v>69</v>
      </c>
      <c r="H1050" s="4">
        <v>0</v>
      </c>
      <c r="I1050" t="s">
        <v>16</v>
      </c>
      <c r="J1050" t="s">
        <v>17</v>
      </c>
      <c r="K1050" s="4">
        <v>42.096415</v>
      </c>
      <c r="L1050" s="2">
        <v>35042.096415</v>
      </c>
    </row>
    <row r="1051" spans="1:12" x14ac:dyDescent="0.35">
      <c r="A1051" t="s">
        <v>1090</v>
      </c>
      <c r="B1051" t="s">
        <v>26</v>
      </c>
      <c r="C1051" t="s">
        <v>20</v>
      </c>
      <c r="D1051" t="s">
        <v>31</v>
      </c>
      <c r="E1051" s="5">
        <v>532667.77</v>
      </c>
      <c r="F1051" s="4">
        <v>76717</v>
      </c>
      <c r="G1051" s="4">
        <v>66</v>
      </c>
      <c r="H1051" s="4">
        <v>0</v>
      </c>
      <c r="I1051" t="s">
        <v>16</v>
      </c>
      <c r="J1051" t="s">
        <v>24</v>
      </c>
      <c r="K1051" s="4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5">
        <v>260027.21</v>
      </c>
      <c r="F1052" s="4">
        <v>51978</v>
      </c>
      <c r="G1052" s="4">
        <v>66</v>
      </c>
      <c r="H1052" s="4">
        <v>0</v>
      </c>
      <c r="I1052" t="s">
        <v>28</v>
      </c>
      <c r="J1052" t="s">
        <v>17</v>
      </c>
      <c r="K1052" s="4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5">
        <v>853479.28</v>
      </c>
      <c r="F1053" s="4">
        <v>47325</v>
      </c>
      <c r="G1053" s="4">
        <v>107</v>
      </c>
      <c r="H1053" s="4">
        <v>0</v>
      </c>
      <c r="I1053" t="s">
        <v>16</v>
      </c>
      <c r="J1053" t="s">
        <v>29</v>
      </c>
      <c r="K1053" s="4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 s="4">
        <v>86721</v>
      </c>
      <c r="G1054" s="4">
        <v>111</v>
      </c>
      <c r="H1054" s="4">
        <v>0</v>
      </c>
      <c r="I1054" t="s">
        <v>28</v>
      </c>
      <c r="J1054" t="s">
        <v>29</v>
      </c>
      <c r="K1054" s="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5">
        <v>224844.96</v>
      </c>
      <c r="F1055" s="4">
        <v>24910</v>
      </c>
      <c r="G1055" s="4">
        <v>63</v>
      </c>
      <c r="H1055" s="4">
        <v>36526</v>
      </c>
      <c r="I1055" t="s">
        <v>16</v>
      </c>
      <c r="J1055" t="s">
        <v>17</v>
      </c>
      <c r="K1055" s="4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5">
        <v>1230276.24</v>
      </c>
      <c r="F1056" s="4">
        <v>43817</v>
      </c>
      <c r="G1056" s="4">
        <v>62</v>
      </c>
      <c r="H1056" s="4">
        <v>36526</v>
      </c>
      <c r="I1056" t="s">
        <v>16</v>
      </c>
      <c r="J1056" t="s">
        <v>17</v>
      </c>
      <c r="K1056" s="4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 s="4">
        <v>0</v>
      </c>
      <c r="G1057" s="4">
        <v>73</v>
      </c>
      <c r="H1057" s="4">
        <v>36557</v>
      </c>
      <c r="I1057" t="s">
        <v>16</v>
      </c>
      <c r="J1057" t="s">
        <v>17</v>
      </c>
      <c r="K1057" s="4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5">
        <v>253070.51</v>
      </c>
      <c r="F1058" s="4">
        <v>89451</v>
      </c>
      <c r="G1058" s="4">
        <v>63</v>
      </c>
      <c r="H1058" s="4">
        <v>0</v>
      </c>
      <c r="I1058" t="s">
        <v>28</v>
      </c>
      <c r="J1058" t="s">
        <v>17</v>
      </c>
      <c r="K1058" s="4">
        <v>61.769564000000003</v>
      </c>
      <c r="L1058" s="2">
        <v>35061.769564000002</v>
      </c>
    </row>
    <row r="1059" spans="1:12" x14ac:dyDescent="0.35">
      <c r="A1059" t="s">
        <v>1098</v>
      </c>
      <c r="B1059" t="s">
        <v>26</v>
      </c>
      <c r="C1059" t="s">
        <v>27</v>
      </c>
      <c r="D1059" t="s">
        <v>35</v>
      </c>
      <c r="E1059" s="5">
        <v>525198.4</v>
      </c>
      <c r="F1059" s="4">
        <v>59537</v>
      </c>
      <c r="G1059" s="4">
        <v>66</v>
      </c>
      <c r="H1059" s="4">
        <v>0</v>
      </c>
      <c r="I1059" t="s">
        <v>16</v>
      </c>
      <c r="J1059" t="s">
        <v>24</v>
      </c>
      <c r="K1059" s="4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 s="4">
        <v>0</v>
      </c>
      <c r="G1060" s="4">
        <v>199</v>
      </c>
      <c r="H1060" s="4">
        <v>0</v>
      </c>
      <c r="I1060" t="s">
        <v>16</v>
      </c>
      <c r="J1060" t="s">
        <v>65</v>
      </c>
      <c r="K1060" s="4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 s="4">
        <v>54193</v>
      </c>
      <c r="G1061" s="4">
        <v>117</v>
      </c>
      <c r="H1061" s="4">
        <v>0</v>
      </c>
      <c r="I1061" t="s">
        <v>28</v>
      </c>
      <c r="J1061" t="s">
        <v>29</v>
      </c>
      <c r="K1061" s="4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 s="4">
        <v>86946</v>
      </c>
      <c r="G1062" s="4">
        <v>118</v>
      </c>
      <c r="H1062" s="4">
        <v>0</v>
      </c>
      <c r="I1062" t="s">
        <v>16</v>
      </c>
      <c r="J1062" t="s">
        <v>17</v>
      </c>
      <c r="K1062" s="4">
        <v>340.65696300000002</v>
      </c>
      <c r="L1062" s="2">
        <v>35340.656967592593</v>
      </c>
    </row>
    <row r="1063" spans="1:12" x14ac:dyDescent="0.35">
      <c r="A1063" t="s">
        <v>1102</v>
      </c>
      <c r="B1063" t="s">
        <v>26</v>
      </c>
      <c r="C1063" t="s">
        <v>20</v>
      </c>
      <c r="D1063" t="s">
        <v>21</v>
      </c>
      <c r="E1063" s="5">
        <v>1050677.17</v>
      </c>
      <c r="F1063" s="4">
        <v>0</v>
      </c>
      <c r="G1063" s="4">
        <v>92</v>
      </c>
      <c r="H1063" s="4">
        <v>0</v>
      </c>
      <c r="I1063" t="s">
        <v>16</v>
      </c>
      <c r="J1063" t="s">
        <v>17</v>
      </c>
      <c r="K1063" s="4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5">
        <v>421391.86</v>
      </c>
      <c r="F1064" s="4">
        <v>12160</v>
      </c>
      <c r="G1064" s="4">
        <v>109</v>
      </c>
      <c r="H1064" s="4">
        <v>0</v>
      </c>
      <c r="I1064" t="s">
        <v>16</v>
      </c>
      <c r="J1064" t="s">
        <v>17</v>
      </c>
      <c r="K1064" s="4">
        <v>489.411833</v>
      </c>
      <c r="L1064" s="2">
        <v>35489.411832999998</v>
      </c>
    </row>
    <row r="1065" spans="1:12" x14ac:dyDescent="0.35">
      <c r="A1065" t="s">
        <v>1104</v>
      </c>
      <c r="B1065" t="s">
        <v>26</v>
      </c>
      <c r="C1065" t="s">
        <v>27</v>
      </c>
      <c r="D1065" t="s">
        <v>35</v>
      </c>
      <c r="E1065" s="5">
        <v>477368.64</v>
      </c>
      <c r="F1065" s="4">
        <v>33701</v>
      </c>
      <c r="G1065" s="4">
        <v>63</v>
      </c>
      <c r="H1065" s="4">
        <v>0</v>
      </c>
      <c r="I1065" t="s">
        <v>16</v>
      </c>
      <c r="J1065" t="s">
        <v>17</v>
      </c>
      <c r="K1065" s="4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5">
        <v>544142.01</v>
      </c>
      <c r="F1066" s="4">
        <v>85702</v>
      </c>
      <c r="G1066" s="4">
        <v>67</v>
      </c>
      <c r="H1066" s="4">
        <v>0</v>
      </c>
      <c r="I1066" t="s">
        <v>16</v>
      </c>
      <c r="J1066" t="s">
        <v>24</v>
      </c>
      <c r="K1066" s="4">
        <v>249.08588700000001</v>
      </c>
      <c r="L1066" s="2">
        <v>35249.085887000001</v>
      </c>
    </row>
    <row r="1067" spans="1:12" x14ac:dyDescent="0.35">
      <c r="A1067" t="s">
        <v>1106</v>
      </c>
      <c r="B1067" t="s">
        <v>26</v>
      </c>
      <c r="C1067" t="s">
        <v>27</v>
      </c>
      <c r="D1067" t="s">
        <v>21</v>
      </c>
      <c r="E1067" s="5">
        <v>284226.69</v>
      </c>
      <c r="F1067" s="4">
        <v>69417</v>
      </c>
      <c r="G1067" s="4">
        <v>73</v>
      </c>
      <c r="H1067" s="4">
        <v>36526</v>
      </c>
      <c r="I1067" t="s">
        <v>16</v>
      </c>
      <c r="J1067" t="s">
        <v>17</v>
      </c>
      <c r="K1067" s="4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5">
        <v>305955.03000000003</v>
      </c>
      <c r="F1068" s="4">
        <v>38644</v>
      </c>
      <c r="G1068" s="4">
        <v>78</v>
      </c>
      <c r="H1068" s="4">
        <v>36526</v>
      </c>
      <c r="I1068" t="s">
        <v>16</v>
      </c>
      <c r="J1068" t="s">
        <v>17</v>
      </c>
      <c r="K1068" s="4">
        <v>361.455219</v>
      </c>
      <c r="L1068" s="2">
        <v>35361.455219000003</v>
      </c>
    </row>
    <row r="1069" spans="1:12" x14ac:dyDescent="0.35">
      <c r="A1069" t="s">
        <v>1108</v>
      </c>
      <c r="B1069" t="s">
        <v>26</v>
      </c>
      <c r="C1069" t="s">
        <v>20</v>
      </c>
      <c r="D1069" t="s">
        <v>31</v>
      </c>
      <c r="E1069" s="5">
        <v>2031499.76</v>
      </c>
      <c r="F1069" s="4">
        <v>63209</v>
      </c>
      <c r="G1069" s="4">
        <v>102</v>
      </c>
      <c r="H1069" s="4">
        <v>36557</v>
      </c>
      <c r="I1069" t="s">
        <v>16</v>
      </c>
      <c r="J1069" t="s">
        <v>29</v>
      </c>
      <c r="K1069" s="4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5">
        <v>323912.46999999997</v>
      </c>
      <c r="F1070" s="4">
        <v>16061</v>
      </c>
      <c r="G1070" s="4">
        <v>88</v>
      </c>
      <c r="H1070" s="4">
        <v>0</v>
      </c>
      <c r="I1070" t="s">
        <v>16</v>
      </c>
      <c r="J1070" t="s">
        <v>17</v>
      </c>
      <c r="K1070" s="4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5">
        <v>462680.11</v>
      </c>
      <c r="F1071" s="4">
        <v>79487</v>
      </c>
      <c r="G1071" s="4">
        <v>114</v>
      </c>
      <c r="H1071" s="4">
        <v>0</v>
      </c>
      <c r="I1071" t="s">
        <v>39</v>
      </c>
      <c r="J1071" t="s">
        <v>29</v>
      </c>
      <c r="K1071" s="4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5">
        <v>899704.02</v>
      </c>
      <c r="F1072" s="4">
        <v>54230</v>
      </c>
      <c r="G1072" s="4">
        <v>112</v>
      </c>
      <c r="H1072" s="4">
        <v>0</v>
      </c>
      <c r="I1072" t="s">
        <v>16</v>
      </c>
      <c r="J1072" t="s">
        <v>24</v>
      </c>
      <c r="K1072" s="4">
        <v>537.6</v>
      </c>
      <c r="L1072" s="2">
        <v>35537.599999999999</v>
      </c>
    </row>
  </sheetData>
  <autoFilter ref="A1:L1072" xr:uid="{C0EC89D2-395D-47E4-B43B-31B0301F07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topLeftCell="A500" zoomScale="80" zoomScaleNormal="80" workbookViewId="0">
      <selection activeCell="M2" sqref="M2:O1072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  <col min="13" max="13" width="11.54296875" bestFit="1" customWidth="1"/>
    <col min="14" max="14" width="15.54296875" bestFit="1" customWidth="1"/>
    <col min="15" max="15" width="18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9189</v>
      </c>
      <c r="N1" t="s">
        <v>9188</v>
      </c>
      <c r="O1" t="s">
        <v>9190</v>
      </c>
    </row>
    <row r="2" spans="1:15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IF(B2="Cali","California",IF(B2="AZ","Arizona",IF(B2="WA","Washington",B2)))</f>
        <v>Washington</v>
      </c>
      <c r="N2" t="str">
        <f t="shared" ref="N2:N7" si="0">IF(OR(C2="F",C2="female",C2="Femal"),"F",IF(OR(C2="M",C2="male",C2="Male"),"M",C2))</f>
        <v>NA</v>
      </c>
      <c r="O2" t="str">
        <f>IF(D2="Bachelors","Bachelor",D2)</f>
        <v>Master</v>
      </c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1">IF(B3="Cali","California",IF(B3="AZ","Arizona",IF(B3="WA","Washington",B3)))</f>
        <v>Arizona</v>
      </c>
      <c r="N3" t="str">
        <f t="shared" si="0"/>
        <v>F</v>
      </c>
      <c r="O3" t="str">
        <f t="shared" ref="O3:O66" si="2">IF(D3="Bachelors","Bachelor",D3)</f>
        <v>Bachelor</v>
      </c>
    </row>
    <row r="4" spans="1:15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1"/>
        <v>Nevada</v>
      </c>
      <c r="N4" t="str">
        <f t="shared" si="0"/>
        <v>F</v>
      </c>
      <c r="O4" t="str">
        <f t="shared" si="2"/>
        <v>Bachelor</v>
      </c>
    </row>
    <row r="5" spans="1:15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1"/>
        <v>California</v>
      </c>
      <c r="N5" t="str">
        <f t="shared" si="0"/>
        <v>M</v>
      </c>
      <c r="O5" t="str">
        <f t="shared" si="2"/>
        <v>Bachelor</v>
      </c>
    </row>
    <row r="6" spans="1:15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1"/>
        <v>Washington</v>
      </c>
      <c r="N6" t="str">
        <f t="shared" si="0"/>
        <v>M</v>
      </c>
      <c r="O6" t="str">
        <f t="shared" si="2"/>
        <v>High School or Below</v>
      </c>
    </row>
    <row r="7" spans="1:15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1"/>
        <v>Oregon</v>
      </c>
      <c r="N7" t="str">
        <f t="shared" si="0"/>
        <v>F</v>
      </c>
      <c r="O7" t="str">
        <f t="shared" si="2"/>
        <v>Bachelor</v>
      </c>
    </row>
    <row r="8" spans="1:15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1"/>
        <v>Oregon</v>
      </c>
      <c r="N8" t="str">
        <f>IF(OR(C8="F",C8="female",C8="Femal"),"F",IF(OR(C8="M",C8="male",C8="Male"),"M",C8))</f>
        <v>F</v>
      </c>
      <c r="O8" t="str">
        <f t="shared" si="2"/>
        <v>College</v>
      </c>
    </row>
    <row r="9" spans="1:15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1"/>
        <v>Arizona</v>
      </c>
      <c r="N9" t="str">
        <f t="shared" ref="N9:N72" si="3">IF(OR(C9="F",C9="female",C9="Femal"),"F",IF(OR(C9="M",C9="male",C9="Male"),"M",C9))</f>
        <v>M</v>
      </c>
      <c r="O9" t="str">
        <f t="shared" si="2"/>
        <v>Master</v>
      </c>
    </row>
    <row r="10" spans="1:15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1"/>
        <v>Oregon</v>
      </c>
      <c r="N10" t="str">
        <f t="shared" si="3"/>
        <v>M</v>
      </c>
      <c r="O10" t="str">
        <f t="shared" si="2"/>
        <v>Bachelor</v>
      </c>
    </row>
    <row r="11" spans="1:15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1"/>
        <v>Oregon</v>
      </c>
      <c r="N11" t="str">
        <f t="shared" si="3"/>
        <v>F</v>
      </c>
      <c r="O11" t="str">
        <f t="shared" si="2"/>
        <v>College</v>
      </c>
    </row>
    <row r="12" spans="1:15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1"/>
        <v>California</v>
      </c>
      <c r="N12" t="str">
        <f t="shared" si="3"/>
        <v>M</v>
      </c>
      <c r="O12" t="str">
        <f t="shared" si="2"/>
        <v>College</v>
      </c>
    </row>
    <row r="13" spans="1:15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1"/>
        <v>California</v>
      </c>
      <c r="N13" t="str">
        <f t="shared" si="3"/>
        <v>NA</v>
      </c>
      <c r="O13" t="str">
        <f t="shared" si="2"/>
        <v>College</v>
      </c>
    </row>
    <row r="14" spans="1:15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1"/>
        <v>California</v>
      </c>
      <c r="N14" t="str">
        <f t="shared" si="3"/>
        <v>NA</v>
      </c>
      <c r="O14" t="str">
        <f t="shared" si="2"/>
        <v>Master</v>
      </c>
    </row>
    <row r="15" spans="1:15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1"/>
        <v>Arizona</v>
      </c>
      <c r="N15" t="str">
        <f t="shared" si="3"/>
        <v>NA</v>
      </c>
      <c r="O15" t="str">
        <f t="shared" si="2"/>
        <v>High School or Below</v>
      </c>
    </row>
    <row r="16" spans="1:15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1"/>
        <v>California</v>
      </c>
      <c r="N16" t="str">
        <f t="shared" si="3"/>
        <v>NA</v>
      </c>
      <c r="O16" t="str">
        <f t="shared" si="2"/>
        <v>College</v>
      </c>
    </row>
    <row r="17" spans="1:15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1"/>
        <v>Oregon</v>
      </c>
      <c r="N17" t="str">
        <f t="shared" si="3"/>
        <v>NA</v>
      </c>
      <c r="O17" t="str">
        <f t="shared" si="2"/>
        <v>Bachelor</v>
      </c>
    </row>
    <row r="18" spans="1:15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1"/>
        <v>Nevada</v>
      </c>
      <c r="N18" t="str">
        <f t="shared" si="3"/>
        <v>NA</v>
      </c>
      <c r="O18" t="str">
        <f t="shared" si="2"/>
        <v>High School or Below</v>
      </c>
    </row>
    <row r="19" spans="1:15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1"/>
        <v>California</v>
      </c>
      <c r="N19" t="str">
        <f t="shared" si="3"/>
        <v>NA</v>
      </c>
      <c r="O19" t="str">
        <f t="shared" si="2"/>
        <v>College</v>
      </c>
    </row>
    <row r="20" spans="1:15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1"/>
        <v>Oregon</v>
      </c>
      <c r="N20" t="str">
        <f t="shared" si="3"/>
        <v>NA</v>
      </c>
      <c r="O20" t="str">
        <f t="shared" si="2"/>
        <v>College</v>
      </c>
    </row>
    <row r="21" spans="1:15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1"/>
        <v>California</v>
      </c>
      <c r="N21" t="str">
        <f t="shared" si="3"/>
        <v>NA</v>
      </c>
      <c r="O21" t="str">
        <f t="shared" si="2"/>
        <v>High School or Below</v>
      </c>
    </row>
    <row r="22" spans="1:15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1"/>
        <v>Oregon</v>
      </c>
      <c r="N22" t="str">
        <f t="shared" si="3"/>
        <v>NA</v>
      </c>
      <c r="O22" t="str">
        <f t="shared" si="2"/>
        <v>High School or Below</v>
      </c>
    </row>
    <row r="23" spans="1:15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1"/>
        <v>Washington</v>
      </c>
      <c r="N23" t="str">
        <f t="shared" si="3"/>
        <v>M</v>
      </c>
      <c r="O23" t="str">
        <f t="shared" si="2"/>
        <v>Bachelor</v>
      </c>
    </row>
    <row r="24" spans="1:15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1"/>
        <v>Arizona</v>
      </c>
      <c r="N24" t="str">
        <f t="shared" si="3"/>
        <v>NA</v>
      </c>
      <c r="O24" t="str">
        <f t="shared" si="2"/>
        <v>Bachelor</v>
      </c>
    </row>
    <row r="25" spans="1:15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1"/>
        <v>Nevada</v>
      </c>
      <c r="N25" t="str">
        <f t="shared" si="3"/>
        <v>NA</v>
      </c>
      <c r="O25" t="str">
        <f t="shared" si="2"/>
        <v>Bachelor</v>
      </c>
    </row>
    <row r="26" spans="1:15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1"/>
        <v>California</v>
      </c>
      <c r="N26" t="str">
        <f t="shared" si="3"/>
        <v>NA</v>
      </c>
      <c r="O26" t="str">
        <f t="shared" si="2"/>
        <v>Bachelor</v>
      </c>
    </row>
    <row r="27" spans="1:15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1"/>
        <v>Oregon</v>
      </c>
      <c r="N27" t="str">
        <f t="shared" si="3"/>
        <v>NA</v>
      </c>
      <c r="O27" t="str">
        <f t="shared" si="2"/>
        <v>College</v>
      </c>
    </row>
    <row r="28" spans="1:15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1"/>
        <v>California</v>
      </c>
      <c r="N28" t="str">
        <f t="shared" si="3"/>
        <v>NA</v>
      </c>
      <c r="O28" t="str">
        <f t="shared" si="2"/>
        <v>Bachelor</v>
      </c>
    </row>
    <row r="29" spans="1:15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1"/>
        <v>Washington</v>
      </c>
      <c r="N29" t="str">
        <f t="shared" si="3"/>
        <v>M</v>
      </c>
      <c r="O29" t="str">
        <f t="shared" si="2"/>
        <v>College</v>
      </c>
    </row>
    <row r="30" spans="1:15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1"/>
        <v>Arizona</v>
      </c>
      <c r="N30" t="str">
        <f t="shared" si="3"/>
        <v>NA</v>
      </c>
      <c r="O30" t="str">
        <f t="shared" si="2"/>
        <v>College</v>
      </c>
    </row>
    <row r="31" spans="1:15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1"/>
        <v>Oregon</v>
      </c>
      <c r="N31" t="str">
        <f t="shared" si="3"/>
        <v>NA</v>
      </c>
      <c r="O31" t="str">
        <f t="shared" si="2"/>
        <v>Master</v>
      </c>
    </row>
    <row r="32" spans="1:15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1"/>
        <v>Arizona</v>
      </c>
      <c r="N32" t="str">
        <f t="shared" si="3"/>
        <v>NA</v>
      </c>
      <c r="O32" t="str">
        <f t="shared" si="2"/>
        <v>College</v>
      </c>
    </row>
    <row r="33" spans="1:15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1"/>
        <v>Nevada</v>
      </c>
      <c r="N33" t="str">
        <f t="shared" si="3"/>
        <v>NA</v>
      </c>
      <c r="O33" t="str">
        <f t="shared" si="2"/>
        <v>High School or Below</v>
      </c>
    </row>
    <row r="34" spans="1:15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1"/>
        <v>California</v>
      </c>
      <c r="N34" t="str">
        <f t="shared" si="3"/>
        <v>NA</v>
      </c>
      <c r="O34" t="str">
        <f t="shared" si="2"/>
        <v>Bachelor</v>
      </c>
    </row>
    <row r="35" spans="1:15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1"/>
        <v>Washington</v>
      </c>
      <c r="N35" t="str">
        <f t="shared" si="3"/>
        <v>F</v>
      </c>
      <c r="O35" t="str">
        <f t="shared" si="2"/>
        <v>College</v>
      </c>
    </row>
    <row r="36" spans="1:15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1"/>
        <v>Oregon</v>
      </c>
      <c r="N36" t="str">
        <f t="shared" si="3"/>
        <v>NA</v>
      </c>
      <c r="O36" t="str">
        <f t="shared" si="2"/>
        <v>Bachelor</v>
      </c>
    </row>
    <row r="37" spans="1:15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1"/>
        <v>Arizona</v>
      </c>
      <c r="N37" t="str">
        <f t="shared" si="3"/>
        <v>NA</v>
      </c>
      <c r="O37" t="str">
        <f t="shared" si="2"/>
        <v>High School or Below</v>
      </c>
    </row>
    <row r="38" spans="1:15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1"/>
        <v>California</v>
      </c>
      <c r="N38" t="str">
        <f t="shared" si="3"/>
        <v>NA</v>
      </c>
      <c r="O38" t="str">
        <f t="shared" si="2"/>
        <v>Bachelor</v>
      </c>
    </row>
    <row r="39" spans="1:15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1"/>
        <v>Oregon</v>
      </c>
      <c r="N39" t="str">
        <f t="shared" si="3"/>
        <v>NA</v>
      </c>
      <c r="O39" t="str">
        <f t="shared" si="2"/>
        <v>Master</v>
      </c>
    </row>
    <row r="40" spans="1:15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1"/>
        <v>Oregon</v>
      </c>
      <c r="N40" t="str">
        <f t="shared" si="3"/>
        <v>NA</v>
      </c>
      <c r="O40" t="str">
        <f t="shared" si="2"/>
        <v>Bachelor</v>
      </c>
    </row>
    <row r="41" spans="1:15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1"/>
        <v>Arizona</v>
      </c>
      <c r="N41" t="str">
        <f t="shared" si="3"/>
        <v>NA</v>
      </c>
      <c r="O41" t="str">
        <f t="shared" si="2"/>
        <v>High School or Below</v>
      </c>
    </row>
    <row r="42" spans="1:15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1"/>
        <v>Nevada</v>
      </c>
      <c r="N42" t="str">
        <f t="shared" si="3"/>
        <v>NA</v>
      </c>
      <c r="O42" t="str">
        <f t="shared" si="2"/>
        <v>High School or Below</v>
      </c>
    </row>
    <row r="43" spans="1:15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1"/>
        <v>Oregon</v>
      </c>
      <c r="N43" t="str">
        <f t="shared" si="3"/>
        <v>NA</v>
      </c>
      <c r="O43" t="str">
        <f t="shared" si="2"/>
        <v>College</v>
      </c>
    </row>
    <row r="44" spans="1:15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1"/>
        <v>California</v>
      </c>
      <c r="N44" t="str">
        <f t="shared" si="3"/>
        <v>NA</v>
      </c>
      <c r="O44" t="str">
        <f t="shared" si="2"/>
        <v>Bachelor</v>
      </c>
    </row>
    <row r="45" spans="1:15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1"/>
        <v>Arizona</v>
      </c>
      <c r="N45" t="str">
        <f t="shared" si="3"/>
        <v>NA</v>
      </c>
      <c r="O45" t="str">
        <f t="shared" si="2"/>
        <v>High School or Below</v>
      </c>
    </row>
    <row r="46" spans="1:15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1"/>
        <v>Washington</v>
      </c>
      <c r="N46" t="str">
        <f t="shared" si="3"/>
        <v>M</v>
      </c>
      <c r="O46" t="str">
        <f t="shared" si="2"/>
        <v>Doctor</v>
      </c>
    </row>
    <row r="47" spans="1:15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1"/>
        <v>Oregon</v>
      </c>
      <c r="N47" t="str">
        <f t="shared" si="3"/>
        <v>NA</v>
      </c>
      <c r="O47" t="str">
        <f t="shared" si="2"/>
        <v>Doctor</v>
      </c>
    </row>
    <row r="48" spans="1:15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1"/>
        <v>Arizona</v>
      </c>
      <c r="N48" t="str">
        <f t="shared" si="3"/>
        <v>NA</v>
      </c>
      <c r="O48" t="str">
        <f t="shared" si="2"/>
        <v>Bachelor</v>
      </c>
    </row>
    <row r="49" spans="1:15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1"/>
        <v>Oregon</v>
      </c>
      <c r="N49" t="str">
        <f t="shared" si="3"/>
        <v>NA</v>
      </c>
      <c r="O49" t="str">
        <f t="shared" si="2"/>
        <v>High School or Below</v>
      </c>
    </row>
    <row r="50" spans="1:15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1"/>
        <v>California</v>
      </c>
      <c r="N50" t="str">
        <f t="shared" si="3"/>
        <v>NA</v>
      </c>
      <c r="O50" t="str">
        <f t="shared" si="2"/>
        <v>Bachelor</v>
      </c>
    </row>
    <row r="51" spans="1:15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1"/>
        <v>Arizona</v>
      </c>
      <c r="N51" t="str">
        <f t="shared" si="3"/>
        <v>NA</v>
      </c>
      <c r="O51" t="str">
        <f t="shared" si="2"/>
        <v>High School or Below</v>
      </c>
    </row>
    <row r="52" spans="1:15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1"/>
        <v>Oregon</v>
      </c>
      <c r="N52" t="str">
        <f t="shared" si="3"/>
        <v>NA</v>
      </c>
      <c r="O52" t="str">
        <f t="shared" si="2"/>
        <v>College</v>
      </c>
    </row>
    <row r="53" spans="1:15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1"/>
        <v>California</v>
      </c>
      <c r="N53" t="str">
        <f t="shared" si="3"/>
        <v>NA</v>
      </c>
      <c r="O53" t="str">
        <f t="shared" si="2"/>
        <v>Bachelor</v>
      </c>
    </row>
    <row r="54" spans="1:15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1"/>
        <v>Nevada</v>
      </c>
      <c r="N54" t="str">
        <f t="shared" si="3"/>
        <v>NA</v>
      </c>
      <c r="O54" t="str">
        <f t="shared" si="2"/>
        <v>High School or Below</v>
      </c>
    </row>
    <row r="55" spans="1:15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1"/>
        <v>Washington</v>
      </c>
      <c r="N55" t="str">
        <f t="shared" si="3"/>
        <v>F</v>
      </c>
      <c r="O55" t="str">
        <f t="shared" si="2"/>
        <v>Master</v>
      </c>
    </row>
    <row r="56" spans="1:15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1"/>
        <v>California</v>
      </c>
      <c r="N56" t="str">
        <f t="shared" si="3"/>
        <v>NA</v>
      </c>
      <c r="O56" t="str">
        <f t="shared" si="2"/>
        <v>Bachelor</v>
      </c>
    </row>
    <row r="57" spans="1:15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1"/>
        <v>Arizona</v>
      </c>
      <c r="N57" t="str">
        <f t="shared" si="3"/>
        <v>NA</v>
      </c>
      <c r="O57" t="str">
        <f t="shared" si="2"/>
        <v>College</v>
      </c>
    </row>
    <row r="58" spans="1:15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1"/>
        <v>California</v>
      </c>
      <c r="N58" t="str">
        <f t="shared" si="3"/>
        <v>NA</v>
      </c>
      <c r="O58" t="str">
        <f t="shared" si="2"/>
        <v>College</v>
      </c>
    </row>
    <row r="59" spans="1:15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1"/>
        <v>Arizona</v>
      </c>
      <c r="N59" t="str">
        <f t="shared" si="3"/>
        <v>NA</v>
      </c>
      <c r="O59" t="str">
        <f t="shared" si="2"/>
        <v>High School or Below</v>
      </c>
    </row>
    <row r="60" spans="1:15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1"/>
        <v>Oregon</v>
      </c>
      <c r="N60" t="str">
        <f t="shared" si="3"/>
        <v>NA</v>
      </c>
      <c r="O60" t="str">
        <f t="shared" si="2"/>
        <v>High School or Below</v>
      </c>
    </row>
    <row r="61" spans="1:15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1"/>
        <v>Oregon</v>
      </c>
      <c r="N61" t="str">
        <f t="shared" si="3"/>
        <v>NA</v>
      </c>
      <c r="O61" t="str">
        <f t="shared" si="2"/>
        <v>Master</v>
      </c>
    </row>
    <row r="62" spans="1:15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1"/>
        <v>Arizona</v>
      </c>
      <c r="N62" t="str">
        <f t="shared" si="3"/>
        <v>NA</v>
      </c>
      <c r="O62" t="str">
        <f t="shared" si="2"/>
        <v>Bachelor</v>
      </c>
    </row>
    <row r="63" spans="1:15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1"/>
        <v>California</v>
      </c>
      <c r="N63" t="str">
        <f t="shared" si="3"/>
        <v>NA</v>
      </c>
      <c r="O63" t="str">
        <f t="shared" si="2"/>
        <v>Bachelor</v>
      </c>
    </row>
    <row r="64" spans="1:15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1"/>
        <v>Oregon</v>
      </c>
      <c r="N64" t="str">
        <f t="shared" si="3"/>
        <v>NA</v>
      </c>
      <c r="O64" t="str">
        <f t="shared" si="2"/>
        <v>Bachelor</v>
      </c>
    </row>
    <row r="65" spans="1:15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1"/>
        <v>California</v>
      </c>
      <c r="N65" t="str">
        <f t="shared" si="3"/>
        <v>NA</v>
      </c>
      <c r="O65" t="str">
        <f t="shared" si="2"/>
        <v>High School or Below</v>
      </c>
    </row>
    <row r="66" spans="1:15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1"/>
        <v>Arizona</v>
      </c>
      <c r="N66" t="str">
        <f t="shared" si="3"/>
        <v>NA</v>
      </c>
      <c r="O66" t="str">
        <f t="shared" si="2"/>
        <v>Bachelor</v>
      </c>
    </row>
    <row r="67" spans="1:15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4">IF(B67="Cali","California",IF(B67="AZ","Arizona",IF(B67="WA","Washington",B67)))</f>
        <v>Washington</v>
      </c>
      <c r="N67" t="str">
        <f t="shared" si="3"/>
        <v>NA</v>
      </c>
      <c r="O67" t="str">
        <f t="shared" ref="O67:O130" si="5">IF(D67="Bachelors","Bachelor",D67)</f>
        <v>College</v>
      </c>
    </row>
    <row r="68" spans="1:15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4"/>
        <v>Oregon</v>
      </c>
      <c r="N68" t="str">
        <f t="shared" si="3"/>
        <v>NA</v>
      </c>
      <c r="O68" t="str">
        <f t="shared" si="5"/>
        <v>College</v>
      </c>
    </row>
    <row r="69" spans="1:15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4"/>
        <v>Arizona</v>
      </c>
      <c r="N69" t="str">
        <f t="shared" si="3"/>
        <v>NA</v>
      </c>
      <c r="O69" t="str">
        <f t="shared" si="5"/>
        <v>High School or Below</v>
      </c>
    </row>
    <row r="70" spans="1:15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4"/>
        <v>Oregon</v>
      </c>
      <c r="N70" t="str">
        <f t="shared" si="3"/>
        <v>NA</v>
      </c>
      <c r="O70" t="str">
        <f t="shared" si="5"/>
        <v>Bachelor</v>
      </c>
    </row>
    <row r="71" spans="1:15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4"/>
        <v>California</v>
      </c>
      <c r="N71" t="str">
        <f t="shared" si="3"/>
        <v>NA</v>
      </c>
      <c r="O71" t="str">
        <f t="shared" si="5"/>
        <v>College</v>
      </c>
    </row>
    <row r="72" spans="1:15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4"/>
        <v>Oregon</v>
      </c>
      <c r="N72" t="str">
        <f t="shared" si="3"/>
        <v>NA</v>
      </c>
      <c r="O72" t="str">
        <f t="shared" si="5"/>
        <v>High School or Below</v>
      </c>
    </row>
    <row r="73" spans="1:15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4"/>
        <v>Oregon</v>
      </c>
      <c r="N73" t="str">
        <f t="shared" ref="N73:N136" si="6">IF(OR(C73="F",C73="female",C73="Femal"),"F",IF(OR(C73="M",C73="male",C73="Male"),"M",C73))</f>
        <v>NA</v>
      </c>
      <c r="O73" t="str">
        <f t="shared" si="5"/>
        <v>Master</v>
      </c>
    </row>
    <row r="74" spans="1:15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4"/>
        <v>Oregon</v>
      </c>
      <c r="N74" t="str">
        <f t="shared" si="6"/>
        <v>NA</v>
      </c>
      <c r="O74" t="str">
        <f t="shared" si="5"/>
        <v>Master</v>
      </c>
    </row>
    <row r="75" spans="1:15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4"/>
        <v>Oregon</v>
      </c>
      <c r="N75" t="str">
        <f t="shared" si="6"/>
        <v>NA</v>
      </c>
      <c r="O75" t="str">
        <f t="shared" si="5"/>
        <v>Bachelor</v>
      </c>
    </row>
    <row r="76" spans="1:15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4"/>
        <v>Oregon</v>
      </c>
      <c r="N76" t="str">
        <f t="shared" si="6"/>
        <v>NA</v>
      </c>
      <c r="O76" t="str">
        <f t="shared" si="5"/>
        <v>Bachelor</v>
      </c>
    </row>
    <row r="77" spans="1:15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4"/>
        <v>Oregon</v>
      </c>
      <c r="N77" t="str">
        <f t="shared" si="6"/>
        <v>NA</v>
      </c>
      <c r="O77" t="str">
        <f t="shared" si="5"/>
        <v>Bachelor</v>
      </c>
    </row>
    <row r="78" spans="1:15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4"/>
        <v>Oregon</v>
      </c>
      <c r="N78" t="str">
        <f t="shared" si="6"/>
        <v>NA</v>
      </c>
      <c r="O78" t="str">
        <f t="shared" si="5"/>
        <v>High School or Below</v>
      </c>
    </row>
    <row r="79" spans="1:15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4"/>
        <v>Nevada</v>
      </c>
      <c r="N79" t="str">
        <f t="shared" si="6"/>
        <v>NA</v>
      </c>
      <c r="O79" t="str">
        <f t="shared" si="5"/>
        <v>College</v>
      </c>
    </row>
    <row r="80" spans="1:15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4"/>
        <v>Washington</v>
      </c>
      <c r="N80" t="str">
        <f t="shared" si="6"/>
        <v>F</v>
      </c>
      <c r="O80" t="str">
        <f t="shared" si="5"/>
        <v>Master</v>
      </c>
    </row>
    <row r="81" spans="1:15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4"/>
        <v>California</v>
      </c>
      <c r="N81" t="str">
        <f t="shared" si="6"/>
        <v>NA</v>
      </c>
      <c r="O81" t="str">
        <f t="shared" si="5"/>
        <v>Bachelor</v>
      </c>
    </row>
    <row r="82" spans="1:15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4"/>
        <v>California</v>
      </c>
      <c r="N82" t="str">
        <f t="shared" si="6"/>
        <v>NA</v>
      </c>
      <c r="O82" t="str">
        <f t="shared" si="5"/>
        <v>College</v>
      </c>
    </row>
    <row r="83" spans="1:15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4"/>
        <v>California</v>
      </c>
      <c r="N83" t="str">
        <f t="shared" si="6"/>
        <v>NA</v>
      </c>
      <c r="O83" t="str">
        <f t="shared" si="5"/>
        <v>High School or Below</v>
      </c>
    </row>
    <row r="84" spans="1:15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4"/>
        <v>California</v>
      </c>
      <c r="N84" t="str">
        <f t="shared" si="6"/>
        <v>NA</v>
      </c>
      <c r="O84" t="str">
        <f t="shared" si="5"/>
        <v>Doctor</v>
      </c>
    </row>
    <row r="85" spans="1:15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4"/>
        <v>Nevada</v>
      </c>
      <c r="N85" t="str">
        <f t="shared" si="6"/>
        <v>NA</v>
      </c>
      <c r="O85" t="str">
        <f t="shared" si="5"/>
        <v>Master</v>
      </c>
    </row>
    <row r="86" spans="1:15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4"/>
        <v>Oregon</v>
      </c>
      <c r="N86" t="str">
        <f t="shared" si="6"/>
        <v>NA</v>
      </c>
      <c r="O86" t="str">
        <f t="shared" si="5"/>
        <v>College</v>
      </c>
    </row>
    <row r="87" spans="1:15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4"/>
        <v>Washington</v>
      </c>
      <c r="N87" t="str">
        <f t="shared" si="6"/>
        <v>F</v>
      </c>
      <c r="O87" t="str">
        <f t="shared" si="5"/>
        <v>Bachelor</v>
      </c>
    </row>
    <row r="88" spans="1:15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4"/>
        <v>California</v>
      </c>
      <c r="N88" t="str">
        <f t="shared" si="6"/>
        <v>NA</v>
      </c>
      <c r="O88" t="str">
        <f t="shared" si="5"/>
        <v>College</v>
      </c>
    </row>
    <row r="89" spans="1:15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4"/>
        <v>California</v>
      </c>
      <c r="N89" t="str">
        <f t="shared" si="6"/>
        <v>NA</v>
      </c>
      <c r="O89" t="str">
        <f t="shared" si="5"/>
        <v>Bachelor</v>
      </c>
    </row>
    <row r="90" spans="1:15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4"/>
        <v>Oregon</v>
      </c>
      <c r="N90" t="str">
        <f t="shared" si="6"/>
        <v>NA</v>
      </c>
      <c r="O90" t="str">
        <f t="shared" si="5"/>
        <v>Bachelor</v>
      </c>
    </row>
    <row r="91" spans="1:15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4"/>
        <v>California</v>
      </c>
      <c r="N91" t="str">
        <f t="shared" si="6"/>
        <v>NA</v>
      </c>
      <c r="O91" t="str">
        <f t="shared" si="5"/>
        <v>College</v>
      </c>
    </row>
    <row r="92" spans="1:15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4"/>
        <v>Oregon</v>
      </c>
      <c r="N92" t="str">
        <f t="shared" si="6"/>
        <v>NA</v>
      </c>
      <c r="O92" t="str">
        <f t="shared" si="5"/>
        <v>College</v>
      </c>
    </row>
    <row r="93" spans="1:15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4"/>
        <v>Washington</v>
      </c>
      <c r="N93" t="str">
        <f t="shared" si="6"/>
        <v>F</v>
      </c>
      <c r="O93" t="str">
        <f t="shared" si="5"/>
        <v>College</v>
      </c>
    </row>
    <row r="94" spans="1:15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4"/>
        <v>Oregon</v>
      </c>
      <c r="N94" t="str">
        <f t="shared" si="6"/>
        <v>NA</v>
      </c>
      <c r="O94" t="str">
        <f t="shared" si="5"/>
        <v>Bachelor</v>
      </c>
    </row>
    <row r="95" spans="1:15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4"/>
        <v>Oregon</v>
      </c>
      <c r="N95" t="str">
        <f t="shared" si="6"/>
        <v>NA</v>
      </c>
      <c r="O95" t="str">
        <f t="shared" si="5"/>
        <v>Bachelor</v>
      </c>
    </row>
    <row r="96" spans="1:15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4"/>
        <v>California</v>
      </c>
      <c r="N96" t="str">
        <f t="shared" si="6"/>
        <v>NA</v>
      </c>
      <c r="O96" t="str">
        <f t="shared" si="5"/>
        <v>High School or Below</v>
      </c>
    </row>
    <row r="97" spans="1:15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4"/>
        <v>Oregon</v>
      </c>
      <c r="N97" t="str">
        <f t="shared" si="6"/>
        <v>NA</v>
      </c>
      <c r="O97" t="str">
        <f t="shared" si="5"/>
        <v>Bachelor</v>
      </c>
    </row>
    <row r="98" spans="1:15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4"/>
        <v>Arizona</v>
      </c>
      <c r="N98" t="str">
        <f t="shared" si="6"/>
        <v>NA</v>
      </c>
      <c r="O98" t="str">
        <f t="shared" si="5"/>
        <v>Master</v>
      </c>
    </row>
    <row r="99" spans="1:15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4"/>
        <v>California</v>
      </c>
      <c r="N99" t="str">
        <f t="shared" si="6"/>
        <v>NA</v>
      </c>
      <c r="O99" t="str">
        <f t="shared" si="5"/>
        <v>Bachelor</v>
      </c>
    </row>
    <row r="100" spans="1:15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4"/>
        <v>Arizona</v>
      </c>
      <c r="N100" t="str">
        <f t="shared" si="6"/>
        <v>NA</v>
      </c>
      <c r="O100" t="str">
        <f t="shared" si="5"/>
        <v>Bachelor</v>
      </c>
    </row>
    <row r="101" spans="1:15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4"/>
        <v>Oregon</v>
      </c>
      <c r="N101" t="str">
        <f t="shared" si="6"/>
        <v>NA</v>
      </c>
      <c r="O101" t="str">
        <f t="shared" si="5"/>
        <v>College</v>
      </c>
    </row>
    <row r="102" spans="1:15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4"/>
        <v>California</v>
      </c>
      <c r="N102" t="str">
        <f t="shared" si="6"/>
        <v>NA</v>
      </c>
      <c r="O102" t="str">
        <f t="shared" si="5"/>
        <v>College</v>
      </c>
    </row>
    <row r="103" spans="1:15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4"/>
        <v>California</v>
      </c>
      <c r="N103" t="str">
        <f t="shared" si="6"/>
        <v>NA</v>
      </c>
      <c r="O103" t="str">
        <f t="shared" si="5"/>
        <v>College</v>
      </c>
    </row>
    <row r="104" spans="1:15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4"/>
        <v>Oregon</v>
      </c>
      <c r="N104" t="str">
        <f t="shared" si="6"/>
        <v>NA</v>
      </c>
      <c r="O104" t="str">
        <f t="shared" si="5"/>
        <v>Bachelor</v>
      </c>
    </row>
    <row r="105" spans="1:15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4"/>
        <v>California</v>
      </c>
      <c r="N105" t="str">
        <f t="shared" si="6"/>
        <v>NA</v>
      </c>
      <c r="O105" t="str">
        <f t="shared" si="5"/>
        <v>College</v>
      </c>
    </row>
    <row r="106" spans="1:15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4"/>
        <v>California</v>
      </c>
      <c r="N106" t="str">
        <f t="shared" si="6"/>
        <v>NA</v>
      </c>
      <c r="O106" t="str">
        <f t="shared" si="5"/>
        <v>High School or Below</v>
      </c>
    </row>
    <row r="107" spans="1:15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4"/>
        <v>Oregon</v>
      </c>
      <c r="N107" t="str">
        <f t="shared" si="6"/>
        <v>NA</v>
      </c>
      <c r="O107" t="str">
        <f t="shared" si="5"/>
        <v>Bachelor</v>
      </c>
    </row>
    <row r="108" spans="1:15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4"/>
        <v>California</v>
      </c>
      <c r="N108" t="str">
        <f t="shared" si="6"/>
        <v>NA</v>
      </c>
      <c r="O108" t="str">
        <f t="shared" si="5"/>
        <v>Bachelor</v>
      </c>
    </row>
    <row r="109" spans="1:15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4"/>
        <v>Oregon</v>
      </c>
      <c r="N109" t="str">
        <f t="shared" si="6"/>
        <v>NA</v>
      </c>
      <c r="O109" t="str">
        <f t="shared" si="5"/>
        <v>High School or Below</v>
      </c>
    </row>
    <row r="110" spans="1:15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4"/>
        <v>California</v>
      </c>
      <c r="N110" t="str">
        <f t="shared" si="6"/>
        <v>NA</v>
      </c>
      <c r="O110" t="str">
        <f t="shared" si="5"/>
        <v>Bachelor</v>
      </c>
    </row>
    <row r="111" spans="1:15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4"/>
        <v>Oregon</v>
      </c>
      <c r="N111" t="str">
        <f t="shared" si="6"/>
        <v>NA</v>
      </c>
      <c r="O111" t="str">
        <f t="shared" si="5"/>
        <v>College</v>
      </c>
    </row>
    <row r="112" spans="1:15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4"/>
        <v>California</v>
      </c>
      <c r="N112" t="str">
        <f t="shared" si="6"/>
        <v>NA</v>
      </c>
      <c r="O112" t="str">
        <f t="shared" si="5"/>
        <v>College</v>
      </c>
    </row>
    <row r="113" spans="1:15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4"/>
        <v>Washington</v>
      </c>
      <c r="N113" t="str">
        <f t="shared" si="6"/>
        <v>M</v>
      </c>
      <c r="O113" t="str">
        <f t="shared" si="5"/>
        <v>High School or Below</v>
      </c>
    </row>
    <row r="114" spans="1:15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4"/>
        <v>Arizona</v>
      </c>
      <c r="N114" t="str">
        <f t="shared" si="6"/>
        <v>NA</v>
      </c>
      <c r="O114" t="str">
        <f t="shared" si="5"/>
        <v>College</v>
      </c>
    </row>
    <row r="115" spans="1:15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4"/>
        <v>Oregon</v>
      </c>
      <c r="N115" t="str">
        <f t="shared" si="6"/>
        <v>NA</v>
      </c>
      <c r="O115" t="str">
        <f t="shared" si="5"/>
        <v>Bachelor</v>
      </c>
    </row>
    <row r="116" spans="1:15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4"/>
        <v>Washington</v>
      </c>
      <c r="N116" t="str">
        <f t="shared" si="6"/>
        <v>F</v>
      </c>
      <c r="O116" t="str">
        <f t="shared" si="5"/>
        <v>Master</v>
      </c>
    </row>
    <row r="117" spans="1:15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4"/>
        <v>California</v>
      </c>
      <c r="N117" t="str">
        <f t="shared" si="6"/>
        <v>NA</v>
      </c>
      <c r="O117" t="str">
        <f t="shared" si="5"/>
        <v>High School or Below</v>
      </c>
    </row>
    <row r="118" spans="1:15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4"/>
        <v>Oregon</v>
      </c>
      <c r="N118" t="str">
        <f t="shared" si="6"/>
        <v>NA</v>
      </c>
      <c r="O118" t="str">
        <f t="shared" si="5"/>
        <v>High School or Below</v>
      </c>
    </row>
    <row r="119" spans="1:15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4"/>
        <v>Arizona</v>
      </c>
      <c r="N119" t="str">
        <f t="shared" si="6"/>
        <v>NA</v>
      </c>
      <c r="O119" t="str">
        <f t="shared" si="5"/>
        <v>High School or Below</v>
      </c>
    </row>
    <row r="120" spans="1:15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4"/>
        <v>California</v>
      </c>
      <c r="N120" t="str">
        <f t="shared" si="6"/>
        <v>NA</v>
      </c>
      <c r="O120" t="str">
        <f t="shared" si="5"/>
        <v>Bachelor</v>
      </c>
    </row>
    <row r="121" spans="1:15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4"/>
        <v>California</v>
      </c>
      <c r="N121" t="str">
        <f t="shared" si="6"/>
        <v>NA</v>
      </c>
      <c r="O121" t="str">
        <f t="shared" si="5"/>
        <v>College</v>
      </c>
    </row>
    <row r="122" spans="1:15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4"/>
        <v>Washington</v>
      </c>
      <c r="N122" t="str">
        <f t="shared" si="6"/>
        <v>F</v>
      </c>
      <c r="O122" t="str">
        <f t="shared" si="5"/>
        <v>College</v>
      </c>
    </row>
    <row r="123" spans="1:15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4"/>
        <v>California</v>
      </c>
      <c r="N123" t="str">
        <f t="shared" si="6"/>
        <v>NA</v>
      </c>
      <c r="O123" t="str">
        <f t="shared" si="5"/>
        <v>Bachelor</v>
      </c>
    </row>
    <row r="124" spans="1:15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4"/>
        <v>Oregon</v>
      </c>
      <c r="N124" t="str">
        <f t="shared" si="6"/>
        <v>NA</v>
      </c>
      <c r="O124" t="str">
        <f t="shared" si="5"/>
        <v>High School or Below</v>
      </c>
    </row>
    <row r="125" spans="1:15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4"/>
        <v>California</v>
      </c>
      <c r="N125" t="str">
        <f t="shared" si="6"/>
        <v>NA</v>
      </c>
      <c r="O125" t="str">
        <f t="shared" si="5"/>
        <v>High School or Below</v>
      </c>
    </row>
    <row r="126" spans="1:15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4"/>
        <v>Nevada</v>
      </c>
      <c r="N126" t="str">
        <f t="shared" si="6"/>
        <v>NA</v>
      </c>
      <c r="O126" t="str">
        <f t="shared" si="5"/>
        <v>Bachelor</v>
      </c>
    </row>
    <row r="127" spans="1:15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4"/>
        <v>Oregon</v>
      </c>
      <c r="N127" t="str">
        <f t="shared" si="6"/>
        <v>NA</v>
      </c>
      <c r="O127" t="str">
        <f t="shared" si="5"/>
        <v>College</v>
      </c>
    </row>
    <row r="128" spans="1:15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4"/>
        <v>Oregon</v>
      </c>
      <c r="N128" t="str">
        <f t="shared" si="6"/>
        <v>NA</v>
      </c>
      <c r="O128" t="str">
        <f t="shared" si="5"/>
        <v>Master</v>
      </c>
    </row>
    <row r="129" spans="1:15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4"/>
        <v>Arizona</v>
      </c>
      <c r="N129" t="str">
        <f t="shared" si="6"/>
        <v>NA</v>
      </c>
      <c r="O129" t="str">
        <f t="shared" si="5"/>
        <v>College</v>
      </c>
    </row>
    <row r="130" spans="1:15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4"/>
        <v>Oregon</v>
      </c>
      <c r="N130" t="str">
        <f t="shared" si="6"/>
        <v>NA</v>
      </c>
      <c r="O130" t="str">
        <f t="shared" si="5"/>
        <v>College</v>
      </c>
    </row>
    <row r="131" spans="1:15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7">IF(B131="Cali","California",IF(B131="AZ","Arizona",IF(B131="WA","Washington",B131)))</f>
        <v>Washington</v>
      </c>
      <c r="N131" t="str">
        <f t="shared" si="6"/>
        <v>F</v>
      </c>
      <c r="O131" t="str">
        <f t="shared" ref="O131:O194" si="8">IF(D131="Bachelors","Bachelor",D131)</f>
        <v>High School or Below</v>
      </c>
    </row>
    <row r="132" spans="1:15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7"/>
        <v>Arizona</v>
      </c>
      <c r="N132" t="str">
        <f t="shared" si="6"/>
        <v>NA</v>
      </c>
      <c r="O132" t="str">
        <f t="shared" si="8"/>
        <v>High School or Below</v>
      </c>
    </row>
    <row r="133" spans="1:15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7"/>
        <v>Nevada</v>
      </c>
      <c r="N133" t="str">
        <f t="shared" si="6"/>
        <v>NA</v>
      </c>
      <c r="O133" t="str">
        <f t="shared" si="8"/>
        <v>Bachelor</v>
      </c>
    </row>
    <row r="134" spans="1:15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7"/>
        <v>Oregon</v>
      </c>
      <c r="N134" t="str">
        <f t="shared" si="6"/>
        <v>NA</v>
      </c>
      <c r="O134" t="str">
        <f t="shared" si="8"/>
        <v>Bachelor</v>
      </c>
    </row>
    <row r="135" spans="1:15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7"/>
        <v>Arizona</v>
      </c>
      <c r="N135" t="str">
        <f t="shared" si="6"/>
        <v>NA</v>
      </c>
      <c r="O135" t="str">
        <f t="shared" si="8"/>
        <v>College</v>
      </c>
    </row>
    <row r="136" spans="1:15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7"/>
        <v>Arizona</v>
      </c>
      <c r="N136" t="str">
        <f t="shared" si="6"/>
        <v>NA</v>
      </c>
      <c r="O136" t="str">
        <f t="shared" si="8"/>
        <v>High School or Below</v>
      </c>
    </row>
    <row r="137" spans="1:15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7"/>
        <v>Arizona</v>
      </c>
      <c r="N137" t="str">
        <f t="shared" ref="N137:N200" si="9">IF(OR(C137="F",C137="female",C137="Femal"),"F",IF(OR(C137="M",C137="male",C137="Male"),"M",C137))</f>
        <v>NA</v>
      </c>
      <c r="O137" t="str">
        <f t="shared" si="8"/>
        <v>High School or Below</v>
      </c>
    </row>
    <row r="138" spans="1:15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7"/>
        <v>Oregon</v>
      </c>
      <c r="N138" t="str">
        <f t="shared" si="9"/>
        <v>NA</v>
      </c>
      <c r="O138" t="str">
        <f t="shared" si="8"/>
        <v>High School or Below</v>
      </c>
    </row>
    <row r="139" spans="1:15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7"/>
        <v>Washington</v>
      </c>
      <c r="N139" t="str">
        <f t="shared" si="9"/>
        <v>F</v>
      </c>
      <c r="O139" t="str">
        <f t="shared" si="8"/>
        <v>Bachelor</v>
      </c>
    </row>
    <row r="140" spans="1:15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7"/>
        <v>Oregon</v>
      </c>
      <c r="N140" t="str">
        <f t="shared" si="9"/>
        <v>NA</v>
      </c>
      <c r="O140" t="str">
        <f t="shared" si="8"/>
        <v>College</v>
      </c>
    </row>
    <row r="141" spans="1:15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7"/>
        <v>Arizona</v>
      </c>
      <c r="N141" t="str">
        <f t="shared" si="9"/>
        <v>F</v>
      </c>
      <c r="O141" t="str">
        <f t="shared" si="8"/>
        <v>Bachelor</v>
      </c>
    </row>
    <row r="142" spans="1:15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7"/>
        <v>Oregon</v>
      </c>
      <c r="N142" t="str">
        <f t="shared" si="9"/>
        <v>M</v>
      </c>
      <c r="O142" t="str">
        <f t="shared" si="8"/>
        <v>College</v>
      </c>
    </row>
    <row r="143" spans="1:15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7"/>
        <v>Arizona</v>
      </c>
      <c r="N143" t="str">
        <f t="shared" si="9"/>
        <v>M</v>
      </c>
      <c r="O143" t="str">
        <f t="shared" si="8"/>
        <v>Master</v>
      </c>
    </row>
    <row r="144" spans="1:15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7"/>
        <v>California</v>
      </c>
      <c r="N144" t="str">
        <f t="shared" si="9"/>
        <v>F</v>
      </c>
      <c r="O144" t="str">
        <f t="shared" si="8"/>
        <v>High School or Below</v>
      </c>
    </row>
    <row r="145" spans="1:15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7"/>
        <v>Washington</v>
      </c>
      <c r="N145" t="str">
        <f t="shared" si="9"/>
        <v>F</v>
      </c>
      <c r="O145" t="str">
        <f t="shared" si="8"/>
        <v>Doctor</v>
      </c>
    </row>
    <row r="146" spans="1:15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7"/>
        <v>Oregon</v>
      </c>
      <c r="N146" t="str">
        <f t="shared" si="9"/>
        <v>F</v>
      </c>
      <c r="O146" t="str">
        <f t="shared" si="8"/>
        <v>High School or Below</v>
      </c>
    </row>
    <row r="147" spans="1:15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7"/>
        <v>Nevada</v>
      </c>
      <c r="N147" t="str">
        <f t="shared" si="9"/>
        <v>M</v>
      </c>
      <c r="O147" t="str">
        <f t="shared" si="8"/>
        <v>Bachelor</v>
      </c>
    </row>
    <row r="148" spans="1:15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7"/>
        <v>California</v>
      </c>
      <c r="N148" t="str">
        <f t="shared" si="9"/>
        <v>F</v>
      </c>
      <c r="O148" t="str">
        <f t="shared" si="8"/>
        <v>College</v>
      </c>
    </row>
    <row r="149" spans="1:15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7"/>
        <v>Arizona</v>
      </c>
      <c r="N149" t="str">
        <f t="shared" si="9"/>
        <v>F</v>
      </c>
      <c r="O149" t="str">
        <f t="shared" si="8"/>
        <v>Bachelor</v>
      </c>
    </row>
    <row r="150" spans="1:15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7"/>
        <v>Arizona</v>
      </c>
      <c r="N150" t="str">
        <f t="shared" si="9"/>
        <v>F</v>
      </c>
      <c r="O150" t="str">
        <f t="shared" si="8"/>
        <v>High School or Below</v>
      </c>
    </row>
    <row r="151" spans="1:15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7"/>
        <v>Oregon</v>
      </c>
      <c r="N151" t="str">
        <f t="shared" si="9"/>
        <v>M</v>
      </c>
      <c r="O151" t="str">
        <f t="shared" si="8"/>
        <v>College</v>
      </c>
    </row>
    <row r="152" spans="1:15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7"/>
        <v>Washington</v>
      </c>
      <c r="N152" t="str">
        <f t="shared" si="9"/>
        <v>F</v>
      </c>
      <c r="O152" t="str">
        <f t="shared" si="8"/>
        <v>High School or Below</v>
      </c>
    </row>
    <row r="153" spans="1:15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7"/>
        <v>Washington</v>
      </c>
      <c r="N153" t="str">
        <f t="shared" si="9"/>
        <v>M</v>
      </c>
      <c r="O153" t="str">
        <f t="shared" si="8"/>
        <v>Master</v>
      </c>
    </row>
    <row r="154" spans="1:15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7"/>
        <v>Arizona</v>
      </c>
      <c r="N154" t="str">
        <f t="shared" si="9"/>
        <v>M</v>
      </c>
      <c r="O154" t="str">
        <f t="shared" si="8"/>
        <v>High School or Below</v>
      </c>
    </row>
    <row r="155" spans="1:15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7"/>
        <v>Arizona</v>
      </c>
      <c r="N155" t="str">
        <f t="shared" si="9"/>
        <v>F</v>
      </c>
      <c r="O155" t="str">
        <f t="shared" si="8"/>
        <v>Bachelor</v>
      </c>
    </row>
    <row r="156" spans="1:15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7"/>
        <v>California</v>
      </c>
      <c r="N156" t="str">
        <f t="shared" si="9"/>
        <v>F</v>
      </c>
      <c r="O156" t="str">
        <f t="shared" si="8"/>
        <v>Bachelor</v>
      </c>
    </row>
    <row r="157" spans="1:15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7"/>
        <v>California</v>
      </c>
      <c r="N157" t="str">
        <f t="shared" si="9"/>
        <v>M</v>
      </c>
      <c r="O157" t="str">
        <f t="shared" si="8"/>
        <v>High School or Below</v>
      </c>
    </row>
    <row r="158" spans="1:15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7"/>
        <v>Oregon</v>
      </c>
      <c r="N158" t="str">
        <f t="shared" si="9"/>
        <v>M</v>
      </c>
      <c r="O158" t="str">
        <f t="shared" si="8"/>
        <v>College</v>
      </c>
    </row>
    <row r="159" spans="1:15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7"/>
        <v>Oregon</v>
      </c>
      <c r="N159" t="str">
        <f t="shared" si="9"/>
        <v>F</v>
      </c>
      <c r="O159" t="str">
        <f t="shared" si="8"/>
        <v>Bachelor</v>
      </c>
    </row>
    <row r="160" spans="1:15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7"/>
        <v>Arizona</v>
      </c>
      <c r="N160" t="str">
        <f t="shared" si="9"/>
        <v>M</v>
      </c>
      <c r="O160" t="str">
        <f t="shared" si="8"/>
        <v>College</v>
      </c>
    </row>
    <row r="161" spans="1:15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7"/>
        <v>Arizona</v>
      </c>
      <c r="N161" t="str">
        <f t="shared" si="9"/>
        <v>F</v>
      </c>
      <c r="O161" t="str">
        <f t="shared" si="8"/>
        <v>Bachelor</v>
      </c>
    </row>
    <row r="162" spans="1:15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7"/>
        <v>California</v>
      </c>
      <c r="N162" t="str">
        <f t="shared" si="9"/>
        <v>M</v>
      </c>
      <c r="O162" t="str">
        <f t="shared" si="8"/>
        <v>High School or Below</v>
      </c>
    </row>
    <row r="163" spans="1:15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7"/>
        <v>Washington</v>
      </c>
      <c r="N163" t="str">
        <f t="shared" si="9"/>
        <v>F</v>
      </c>
      <c r="O163" t="str">
        <f t="shared" si="8"/>
        <v>High School or Below</v>
      </c>
    </row>
    <row r="164" spans="1:15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7"/>
        <v>California</v>
      </c>
      <c r="N164" t="str">
        <f t="shared" si="9"/>
        <v>F</v>
      </c>
      <c r="O164" t="str">
        <f t="shared" si="8"/>
        <v>College</v>
      </c>
    </row>
    <row r="165" spans="1:15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7"/>
        <v>Washington</v>
      </c>
      <c r="N165" t="str">
        <f t="shared" si="9"/>
        <v>F</v>
      </c>
      <c r="O165" t="str">
        <f t="shared" si="8"/>
        <v>Doctor</v>
      </c>
    </row>
    <row r="166" spans="1:15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7"/>
        <v>California</v>
      </c>
      <c r="N166" t="str">
        <f t="shared" si="9"/>
        <v>M</v>
      </c>
      <c r="O166" t="str">
        <f t="shared" si="8"/>
        <v>Bachelor</v>
      </c>
    </row>
    <row r="167" spans="1:15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7"/>
        <v>Oregon</v>
      </c>
      <c r="N167" t="str">
        <f t="shared" si="9"/>
        <v>M</v>
      </c>
      <c r="O167" t="str">
        <f t="shared" si="8"/>
        <v>Master</v>
      </c>
    </row>
    <row r="168" spans="1:15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7"/>
        <v>California</v>
      </c>
      <c r="N168" t="str">
        <f t="shared" si="9"/>
        <v>F</v>
      </c>
      <c r="O168" t="str">
        <f t="shared" si="8"/>
        <v>Bachelor</v>
      </c>
    </row>
    <row r="169" spans="1:15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7"/>
        <v>California</v>
      </c>
      <c r="N169" t="str">
        <f t="shared" si="9"/>
        <v>F</v>
      </c>
      <c r="O169" t="str">
        <f t="shared" si="8"/>
        <v>High School or Below</v>
      </c>
    </row>
    <row r="170" spans="1:15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7"/>
        <v>Oregon</v>
      </c>
      <c r="N170" t="str">
        <f t="shared" si="9"/>
        <v>F</v>
      </c>
      <c r="O170" t="str">
        <f t="shared" si="8"/>
        <v>High School or Below</v>
      </c>
    </row>
    <row r="171" spans="1:15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7"/>
        <v>California</v>
      </c>
      <c r="N171" t="str">
        <f t="shared" si="9"/>
        <v>F</v>
      </c>
      <c r="O171" t="str">
        <f t="shared" si="8"/>
        <v>High School or Below</v>
      </c>
    </row>
    <row r="172" spans="1:15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7"/>
        <v>California</v>
      </c>
      <c r="N172" t="str">
        <f t="shared" si="9"/>
        <v>M</v>
      </c>
      <c r="O172" t="str">
        <f t="shared" si="8"/>
        <v>College</v>
      </c>
    </row>
    <row r="173" spans="1:15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7"/>
        <v>Oregon</v>
      </c>
      <c r="N173" t="str">
        <f t="shared" si="9"/>
        <v>F</v>
      </c>
      <c r="O173" t="str">
        <f t="shared" si="8"/>
        <v>Doctor</v>
      </c>
    </row>
    <row r="174" spans="1:15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7"/>
        <v>Nevada</v>
      </c>
      <c r="N174" t="str">
        <f t="shared" si="9"/>
        <v>F</v>
      </c>
      <c r="O174" t="str">
        <f t="shared" si="8"/>
        <v>College</v>
      </c>
    </row>
    <row r="175" spans="1:15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7"/>
        <v>Nevada</v>
      </c>
      <c r="N175" t="str">
        <f t="shared" si="9"/>
        <v>F</v>
      </c>
      <c r="O175" t="str">
        <f t="shared" si="8"/>
        <v>College</v>
      </c>
    </row>
    <row r="176" spans="1:15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7"/>
        <v>California</v>
      </c>
      <c r="N176" t="str">
        <f t="shared" si="9"/>
        <v>M</v>
      </c>
      <c r="O176" t="str">
        <f t="shared" si="8"/>
        <v>High School or Below</v>
      </c>
    </row>
    <row r="177" spans="1:15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7"/>
        <v>California</v>
      </c>
      <c r="N177" t="str">
        <f t="shared" si="9"/>
        <v>F</v>
      </c>
      <c r="O177" t="str">
        <f t="shared" si="8"/>
        <v>Bachelor</v>
      </c>
    </row>
    <row r="178" spans="1:15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7"/>
        <v>Washington</v>
      </c>
      <c r="N178" t="str">
        <f t="shared" si="9"/>
        <v>F</v>
      </c>
      <c r="O178" t="str">
        <f t="shared" si="8"/>
        <v>Doctor</v>
      </c>
    </row>
    <row r="179" spans="1:15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7"/>
        <v>Arizona</v>
      </c>
      <c r="N179" t="str">
        <f t="shared" si="9"/>
        <v>F</v>
      </c>
      <c r="O179" t="str">
        <f t="shared" si="8"/>
        <v>Bachelor</v>
      </c>
    </row>
    <row r="180" spans="1:15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7"/>
        <v>Washington</v>
      </c>
      <c r="N180" t="str">
        <f t="shared" si="9"/>
        <v>F</v>
      </c>
      <c r="O180" t="str">
        <f t="shared" si="8"/>
        <v>Bachelor</v>
      </c>
    </row>
    <row r="181" spans="1:15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7"/>
        <v>California</v>
      </c>
      <c r="N181" t="str">
        <f t="shared" si="9"/>
        <v>F</v>
      </c>
      <c r="O181" t="str">
        <f t="shared" si="8"/>
        <v>Bachelor</v>
      </c>
    </row>
    <row r="182" spans="1:15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7"/>
        <v>California</v>
      </c>
      <c r="N182" t="str">
        <f t="shared" si="9"/>
        <v>F</v>
      </c>
      <c r="O182" t="str">
        <f t="shared" si="8"/>
        <v>Bachelor</v>
      </c>
    </row>
    <row r="183" spans="1:15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7"/>
        <v>Nevada</v>
      </c>
      <c r="N183" t="str">
        <f t="shared" si="9"/>
        <v>F</v>
      </c>
      <c r="O183" t="str">
        <f t="shared" si="8"/>
        <v>Bachelor</v>
      </c>
    </row>
    <row r="184" spans="1:15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7"/>
        <v>Oregon</v>
      </c>
      <c r="N184" t="str">
        <f t="shared" si="9"/>
        <v>M</v>
      </c>
      <c r="O184" t="str">
        <f t="shared" si="8"/>
        <v>High School or Below</v>
      </c>
    </row>
    <row r="185" spans="1:15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7"/>
        <v>Nevada</v>
      </c>
      <c r="N185" t="str">
        <f t="shared" si="9"/>
        <v>M</v>
      </c>
      <c r="O185" t="str">
        <f t="shared" si="8"/>
        <v>Bachelor</v>
      </c>
    </row>
    <row r="186" spans="1:15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7"/>
        <v>California</v>
      </c>
      <c r="N186" t="str">
        <f t="shared" si="9"/>
        <v>M</v>
      </c>
      <c r="O186" t="str">
        <f t="shared" si="8"/>
        <v>Bachelor</v>
      </c>
    </row>
    <row r="187" spans="1:15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7"/>
        <v>California</v>
      </c>
      <c r="N187" t="str">
        <f t="shared" si="9"/>
        <v>F</v>
      </c>
      <c r="O187" t="str">
        <f t="shared" si="8"/>
        <v>High School or Below</v>
      </c>
    </row>
    <row r="188" spans="1:15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7"/>
        <v>California</v>
      </c>
      <c r="N188" t="str">
        <f t="shared" si="9"/>
        <v>F</v>
      </c>
      <c r="O188" t="str">
        <f t="shared" si="8"/>
        <v>College</v>
      </c>
    </row>
    <row r="189" spans="1:15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7"/>
        <v>Arizona</v>
      </c>
      <c r="N189" t="str">
        <f t="shared" si="9"/>
        <v>F</v>
      </c>
      <c r="O189" t="str">
        <f t="shared" si="8"/>
        <v>Bachelor</v>
      </c>
    </row>
    <row r="190" spans="1:15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7"/>
        <v>California</v>
      </c>
      <c r="N190" t="str">
        <f t="shared" si="9"/>
        <v>F</v>
      </c>
      <c r="O190" t="str">
        <f t="shared" si="8"/>
        <v>Bachelor</v>
      </c>
    </row>
    <row r="191" spans="1:15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7"/>
        <v>Oregon</v>
      </c>
      <c r="N191" t="str">
        <f t="shared" si="9"/>
        <v>M</v>
      </c>
      <c r="O191" t="str">
        <f t="shared" si="8"/>
        <v>College</v>
      </c>
    </row>
    <row r="192" spans="1:15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7"/>
        <v>California</v>
      </c>
      <c r="N192" t="str">
        <f t="shared" si="9"/>
        <v>M</v>
      </c>
      <c r="O192" t="str">
        <f t="shared" si="8"/>
        <v>Master</v>
      </c>
    </row>
    <row r="193" spans="1:15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7"/>
        <v>California</v>
      </c>
      <c r="N193" t="str">
        <f t="shared" si="9"/>
        <v>F</v>
      </c>
      <c r="O193" t="str">
        <f t="shared" si="8"/>
        <v>High School or Below</v>
      </c>
    </row>
    <row r="194" spans="1:15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7"/>
        <v>California</v>
      </c>
      <c r="N194" t="str">
        <f t="shared" si="9"/>
        <v>M</v>
      </c>
      <c r="O194" t="str">
        <f t="shared" si="8"/>
        <v>Bachelor</v>
      </c>
    </row>
    <row r="195" spans="1:15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10">IF(B195="Cali","California",IF(B195="AZ","Arizona",IF(B195="WA","Washington",B195)))</f>
        <v>Oregon</v>
      </c>
      <c r="N195" t="str">
        <f t="shared" si="9"/>
        <v>F</v>
      </c>
      <c r="O195" t="str">
        <f t="shared" ref="O195:O258" si="11">IF(D195="Bachelors","Bachelor",D195)</f>
        <v>Bachelor</v>
      </c>
    </row>
    <row r="196" spans="1:15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10"/>
        <v>Arizona</v>
      </c>
      <c r="N196" t="str">
        <f t="shared" si="9"/>
        <v>F</v>
      </c>
      <c r="O196" t="str">
        <f t="shared" si="11"/>
        <v>High School or Below</v>
      </c>
    </row>
    <row r="197" spans="1:15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10"/>
        <v>Washington</v>
      </c>
      <c r="N197" t="str">
        <f t="shared" si="9"/>
        <v>F</v>
      </c>
      <c r="O197" t="str">
        <f t="shared" si="11"/>
        <v>Bachelor</v>
      </c>
    </row>
    <row r="198" spans="1:15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10"/>
        <v>Oregon</v>
      </c>
      <c r="N198" t="str">
        <f t="shared" si="9"/>
        <v>M</v>
      </c>
      <c r="O198" t="str">
        <f t="shared" si="11"/>
        <v>High School or Below</v>
      </c>
    </row>
    <row r="199" spans="1:15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10"/>
        <v>Oregon</v>
      </c>
      <c r="N199" t="str">
        <f t="shared" si="9"/>
        <v>M</v>
      </c>
      <c r="O199" t="str">
        <f t="shared" si="11"/>
        <v>Bachelor</v>
      </c>
    </row>
    <row r="200" spans="1:15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10"/>
        <v>Washington</v>
      </c>
      <c r="N200" t="str">
        <f t="shared" si="9"/>
        <v>F</v>
      </c>
      <c r="O200" t="str">
        <f t="shared" si="11"/>
        <v>High School or Below</v>
      </c>
    </row>
    <row r="201" spans="1:15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10"/>
        <v>California</v>
      </c>
      <c r="N201" t="str">
        <f t="shared" ref="N201:N264" si="12">IF(OR(C201="F",C201="female",C201="Femal"),"F",IF(OR(C201="M",C201="male",C201="Male"),"M",C201))</f>
        <v>M</v>
      </c>
      <c r="O201" t="str">
        <f t="shared" si="11"/>
        <v>College</v>
      </c>
    </row>
    <row r="202" spans="1:15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10"/>
        <v>California</v>
      </c>
      <c r="N202" t="str">
        <f t="shared" si="12"/>
        <v>F</v>
      </c>
      <c r="O202" t="str">
        <f t="shared" si="11"/>
        <v>Master</v>
      </c>
    </row>
    <row r="203" spans="1:15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10"/>
        <v>Nevada</v>
      </c>
      <c r="N203" t="str">
        <f t="shared" si="12"/>
        <v>F</v>
      </c>
      <c r="O203" t="str">
        <f t="shared" si="11"/>
        <v>Bachelor</v>
      </c>
    </row>
    <row r="204" spans="1:15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10"/>
        <v>Arizona</v>
      </c>
      <c r="N204" t="str">
        <f t="shared" si="12"/>
        <v>F</v>
      </c>
      <c r="O204" t="str">
        <f t="shared" si="11"/>
        <v>High School or Below</v>
      </c>
    </row>
    <row r="205" spans="1:15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10"/>
        <v>California</v>
      </c>
      <c r="N205" t="str">
        <f t="shared" si="12"/>
        <v>M</v>
      </c>
      <c r="O205" t="str">
        <f t="shared" si="11"/>
        <v>College</v>
      </c>
    </row>
    <row r="206" spans="1:15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10"/>
        <v>California</v>
      </c>
      <c r="N206" t="str">
        <f t="shared" si="12"/>
        <v>M</v>
      </c>
      <c r="O206" t="str">
        <f t="shared" si="11"/>
        <v>High School or Below</v>
      </c>
    </row>
    <row r="207" spans="1:15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10"/>
        <v>California</v>
      </c>
      <c r="N207" t="str">
        <f t="shared" si="12"/>
        <v>M</v>
      </c>
      <c r="O207" t="str">
        <f t="shared" si="11"/>
        <v>College</v>
      </c>
    </row>
    <row r="208" spans="1:15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10"/>
        <v>California</v>
      </c>
      <c r="N208" t="str">
        <f t="shared" si="12"/>
        <v>F</v>
      </c>
      <c r="O208" t="str">
        <f t="shared" si="11"/>
        <v>College</v>
      </c>
    </row>
    <row r="209" spans="1:15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10"/>
        <v>California</v>
      </c>
      <c r="N209" t="str">
        <f t="shared" si="12"/>
        <v>M</v>
      </c>
      <c r="O209" t="str">
        <f t="shared" si="11"/>
        <v>College</v>
      </c>
    </row>
    <row r="210" spans="1:15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10"/>
        <v>Oregon</v>
      </c>
      <c r="N210" t="str">
        <f t="shared" si="12"/>
        <v>F</v>
      </c>
      <c r="O210" t="str">
        <f t="shared" si="11"/>
        <v>High School or Below</v>
      </c>
    </row>
    <row r="211" spans="1:15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10"/>
        <v>Washington</v>
      </c>
      <c r="N211" t="str">
        <f t="shared" si="12"/>
        <v>F</v>
      </c>
      <c r="O211" t="str">
        <f t="shared" si="11"/>
        <v>Bachelor</v>
      </c>
    </row>
    <row r="212" spans="1:15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10"/>
        <v>California</v>
      </c>
      <c r="N212" t="str">
        <f t="shared" si="12"/>
        <v>M</v>
      </c>
      <c r="O212" t="str">
        <f t="shared" si="11"/>
        <v>High School or Below</v>
      </c>
    </row>
    <row r="213" spans="1:15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10"/>
        <v>California</v>
      </c>
      <c r="N213" t="str">
        <f t="shared" si="12"/>
        <v>M</v>
      </c>
      <c r="O213" t="str">
        <f t="shared" si="11"/>
        <v>College</v>
      </c>
    </row>
    <row r="214" spans="1:15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10"/>
        <v>Washington</v>
      </c>
      <c r="N214" t="str">
        <f t="shared" si="12"/>
        <v>M</v>
      </c>
      <c r="O214" t="str">
        <f t="shared" si="11"/>
        <v>College</v>
      </c>
    </row>
    <row r="215" spans="1:15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10"/>
        <v>California</v>
      </c>
      <c r="N215" t="str">
        <f t="shared" si="12"/>
        <v>F</v>
      </c>
      <c r="O215" t="str">
        <f t="shared" si="11"/>
        <v>High School or Below</v>
      </c>
    </row>
    <row r="216" spans="1:15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10"/>
        <v>Arizona</v>
      </c>
      <c r="N216" t="str">
        <f t="shared" si="12"/>
        <v>M</v>
      </c>
      <c r="O216" t="str">
        <f t="shared" si="11"/>
        <v>College</v>
      </c>
    </row>
    <row r="217" spans="1:15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10"/>
        <v>Oregon</v>
      </c>
      <c r="N217" t="str">
        <f t="shared" si="12"/>
        <v>F</v>
      </c>
      <c r="O217" t="str">
        <f t="shared" si="11"/>
        <v>College</v>
      </c>
    </row>
    <row r="218" spans="1:15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10"/>
        <v>Oregon</v>
      </c>
      <c r="N218" t="str">
        <f t="shared" si="12"/>
        <v>M</v>
      </c>
      <c r="O218" t="str">
        <f t="shared" si="11"/>
        <v>College</v>
      </c>
    </row>
    <row r="219" spans="1:15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10"/>
        <v>Oregon</v>
      </c>
      <c r="N219" t="str">
        <f t="shared" si="12"/>
        <v>F</v>
      </c>
      <c r="O219" t="str">
        <f t="shared" si="11"/>
        <v>High School or Below</v>
      </c>
    </row>
    <row r="220" spans="1:15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10"/>
        <v>Washington</v>
      </c>
      <c r="N220" t="str">
        <f t="shared" si="12"/>
        <v>F</v>
      </c>
      <c r="O220" t="str">
        <f t="shared" si="11"/>
        <v>High School or Below</v>
      </c>
    </row>
    <row r="221" spans="1:15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10"/>
        <v>California</v>
      </c>
      <c r="N221" t="str">
        <f t="shared" si="12"/>
        <v>M</v>
      </c>
      <c r="O221" t="str">
        <f t="shared" si="11"/>
        <v>College</v>
      </c>
    </row>
    <row r="222" spans="1:15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10"/>
        <v>Oregon</v>
      </c>
      <c r="N222" t="str">
        <f t="shared" si="12"/>
        <v>F</v>
      </c>
      <c r="O222" t="str">
        <f t="shared" si="11"/>
        <v>Bachelor</v>
      </c>
    </row>
    <row r="223" spans="1:15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10"/>
        <v>California</v>
      </c>
      <c r="N223" t="str">
        <f t="shared" si="12"/>
        <v>M</v>
      </c>
      <c r="O223" t="str">
        <f t="shared" si="11"/>
        <v>Bachelor</v>
      </c>
    </row>
    <row r="224" spans="1:15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10"/>
        <v>Nevada</v>
      </c>
      <c r="N224" t="str">
        <f t="shared" si="12"/>
        <v>M</v>
      </c>
      <c r="O224" t="str">
        <f t="shared" si="11"/>
        <v>High School or Below</v>
      </c>
    </row>
    <row r="225" spans="1:15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10"/>
        <v>Washington</v>
      </c>
      <c r="N225" t="str">
        <f t="shared" si="12"/>
        <v>M</v>
      </c>
      <c r="O225" t="str">
        <f t="shared" si="11"/>
        <v>High School or Below</v>
      </c>
    </row>
    <row r="226" spans="1:15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10"/>
        <v>Oregon</v>
      </c>
      <c r="N226" t="str">
        <f t="shared" si="12"/>
        <v>F</v>
      </c>
      <c r="O226" t="str">
        <f t="shared" si="11"/>
        <v>College</v>
      </c>
    </row>
    <row r="227" spans="1:15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10"/>
        <v>Oregon</v>
      </c>
      <c r="N227" t="str">
        <f t="shared" si="12"/>
        <v>F</v>
      </c>
      <c r="O227" t="str">
        <f t="shared" si="11"/>
        <v>College</v>
      </c>
    </row>
    <row r="228" spans="1:15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10"/>
        <v>Nevada</v>
      </c>
      <c r="N228" t="str">
        <f t="shared" si="12"/>
        <v>M</v>
      </c>
      <c r="O228" t="str">
        <f t="shared" si="11"/>
        <v>College</v>
      </c>
    </row>
    <row r="229" spans="1:15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10"/>
        <v>Nevada</v>
      </c>
      <c r="N229" t="str">
        <f t="shared" si="12"/>
        <v>F</v>
      </c>
      <c r="O229" t="str">
        <f t="shared" si="11"/>
        <v>High School or Below</v>
      </c>
    </row>
    <row r="230" spans="1:15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10"/>
        <v>Arizona</v>
      </c>
      <c r="N230" t="str">
        <f t="shared" si="12"/>
        <v>M</v>
      </c>
      <c r="O230" t="str">
        <f t="shared" si="11"/>
        <v>High School or Below</v>
      </c>
    </row>
    <row r="231" spans="1:15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10"/>
        <v>California</v>
      </c>
      <c r="N231" t="str">
        <f t="shared" si="12"/>
        <v>M</v>
      </c>
      <c r="O231" t="str">
        <f t="shared" si="11"/>
        <v>Bachelor</v>
      </c>
    </row>
    <row r="232" spans="1:15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10"/>
        <v>Arizona</v>
      </c>
      <c r="N232" t="str">
        <f t="shared" si="12"/>
        <v>F</v>
      </c>
      <c r="O232" t="str">
        <f t="shared" si="11"/>
        <v>Bachelor</v>
      </c>
    </row>
    <row r="233" spans="1:15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10"/>
        <v>Arizona</v>
      </c>
      <c r="N233" t="str">
        <f t="shared" si="12"/>
        <v>M</v>
      </c>
      <c r="O233" t="str">
        <f t="shared" si="11"/>
        <v>College</v>
      </c>
    </row>
    <row r="234" spans="1:15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10"/>
        <v>Arizona</v>
      </c>
      <c r="N234" t="str">
        <f t="shared" si="12"/>
        <v>M</v>
      </c>
      <c r="O234" t="str">
        <f t="shared" si="11"/>
        <v>High School or Below</v>
      </c>
    </row>
    <row r="235" spans="1:15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10"/>
        <v>Oregon</v>
      </c>
      <c r="N235" t="str">
        <f t="shared" si="12"/>
        <v>F</v>
      </c>
      <c r="O235" t="str">
        <f t="shared" si="11"/>
        <v>Bachelor</v>
      </c>
    </row>
    <row r="236" spans="1:15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10"/>
        <v>Arizona</v>
      </c>
      <c r="N236" t="str">
        <f t="shared" si="12"/>
        <v>M</v>
      </c>
      <c r="O236" t="str">
        <f t="shared" si="11"/>
        <v>High School or Below</v>
      </c>
    </row>
    <row r="237" spans="1:15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10"/>
        <v>California</v>
      </c>
      <c r="N237" t="str">
        <f t="shared" si="12"/>
        <v>M</v>
      </c>
      <c r="O237" t="str">
        <f t="shared" si="11"/>
        <v>Bachelor</v>
      </c>
    </row>
    <row r="238" spans="1:15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10"/>
        <v>California</v>
      </c>
      <c r="N238" t="str">
        <f t="shared" si="12"/>
        <v>F</v>
      </c>
      <c r="O238" t="str">
        <f t="shared" si="11"/>
        <v>Bachelor</v>
      </c>
    </row>
    <row r="239" spans="1:15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10"/>
        <v>Washington</v>
      </c>
      <c r="N239" t="str">
        <f t="shared" si="12"/>
        <v>M</v>
      </c>
      <c r="O239" t="str">
        <f t="shared" si="11"/>
        <v>College</v>
      </c>
    </row>
    <row r="240" spans="1:15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10"/>
        <v>Washington</v>
      </c>
      <c r="N240" t="str">
        <f t="shared" si="12"/>
        <v>M</v>
      </c>
      <c r="O240" t="str">
        <f t="shared" si="11"/>
        <v>College</v>
      </c>
    </row>
    <row r="241" spans="1:15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10"/>
        <v>Washington</v>
      </c>
      <c r="N241" t="str">
        <f t="shared" si="12"/>
        <v>F</v>
      </c>
      <c r="O241" t="str">
        <f t="shared" si="11"/>
        <v>Bachelor</v>
      </c>
    </row>
    <row r="242" spans="1:15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10"/>
        <v>Nevada</v>
      </c>
      <c r="N242" t="str">
        <f t="shared" si="12"/>
        <v>F</v>
      </c>
      <c r="O242" t="str">
        <f t="shared" si="11"/>
        <v>High School or Below</v>
      </c>
    </row>
    <row r="243" spans="1:15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10"/>
        <v>Arizona</v>
      </c>
      <c r="N243" t="str">
        <f t="shared" si="12"/>
        <v>F</v>
      </c>
      <c r="O243" t="str">
        <f t="shared" si="11"/>
        <v>College</v>
      </c>
    </row>
    <row r="244" spans="1:15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10"/>
        <v>Oregon</v>
      </c>
      <c r="N244" t="str">
        <f t="shared" si="12"/>
        <v>F</v>
      </c>
      <c r="O244" t="str">
        <f t="shared" si="11"/>
        <v>College</v>
      </c>
    </row>
    <row r="245" spans="1:15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10"/>
        <v>California</v>
      </c>
      <c r="N245" t="str">
        <f t="shared" si="12"/>
        <v>M</v>
      </c>
      <c r="O245" t="str">
        <f t="shared" si="11"/>
        <v>College</v>
      </c>
    </row>
    <row r="246" spans="1:15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10"/>
        <v>California</v>
      </c>
      <c r="N246" t="str">
        <f t="shared" si="12"/>
        <v>F</v>
      </c>
      <c r="O246" t="str">
        <f t="shared" si="11"/>
        <v>College</v>
      </c>
    </row>
    <row r="247" spans="1:15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10"/>
        <v>California</v>
      </c>
      <c r="N247" t="str">
        <f t="shared" si="12"/>
        <v>M</v>
      </c>
      <c r="O247" t="str">
        <f t="shared" si="11"/>
        <v>Bachelor</v>
      </c>
    </row>
    <row r="248" spans="1:15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10"/>
        <v>Arizona</v>
      </c>
      <c r="N248" t="str">
        <f t="shared" si="12"/>
        <v>F</v>
      </c>
      <c r="O248" t="str">
        <f t="shared" si="11"/>
        <v>Bachelor</v>
      </c>
    </row>
    <row r="249" spans="1:15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10"/>
        <v>Arizona</v>
      </c>
      <c r="N249" t="str">
        <f t="shared" si="12"/>
        <v>F</v>
      </c>
      <c r="O249" t="str">
        <f t="shared" si="11"/>
        <v>High School or Below</v>
      </c>
    </row>
    <row r="250" spans="1:15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10"/>
        <v>Oregon</v>
      </c>
      <c r="N250" t="str">
        <f t="shared" si="12"/>
        <v>M</v>
      </c>
      <c r="O250" t="str">
        <f t="shared" si="11"/>
        <v>Bachelor</v>
      </c>
    </row>
    <row r="251" spans="1:15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10"/>
        <v>California</v>
      </c>
      <c r="N251" t="str">
        <f t="shared" si="12"/>
        <v>M</v>
      </c>
      <c r="O251" t="str">
        <f t="shared" si="11"/>
        <v>Master</v>
      </c>
    </row>
    <row r="252" spans="1:15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10"/>
        <v>Arizona</v>
      </c>
      <c r="N252" t="str">
        <f t="shared" si="12"/>
        <v>F</v>
      </c>
      <c r="O252" t="str">
        <f t="shared" si="11"/>
        <v>High School or Below</v>
      </c>
    </row>
    <row r="253" spans="1:15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10"/>
        <v>Nevada</v>
      </c>
      <c r="N253" t="str">
        <f t="shared" si="12"/>
        <v>F</v>
      </c>
      <c r="O253" t="str">
        <f t="shared" si="11"/>
        <v>Bachelor</v>
      </c>
    </row>
    <row r="254" spans="1:15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10"/>
        <v>Arizona</v>
      </c>
      <c r="N254" t="str">
        <f t="shared" si="12"/>
        <v>M</v>
      </c>
      <c r="O254" t="str">
        <f t="shared" si="11"/>
        <v>Doctor</v>
      </c>
    </row>
    <row r="255" spans="1:15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10"/>
        <v>Washington</v>
      </c>
      <c r="N255" t="str">
        <f t="shared" si="12"/>
        <v>F</v>
      </c>
      <c r="O255" t="str">
        <f t="shared" si="11"/>
        <v>College</v>
      </c>
    </row>
    <row r="256" spans="1:15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10"/>
        <v>Oregon</v>
      </c>
      <c r="N256" t="str">
        <f t="shared" si="12"/>
        <v>M</v>
      </c>
      <c r="O256" t="str">
        <f t="shared" si="11"/>
        <v>Bachelor</v>
      </c>
    </row>
    <row r="257" spans="1:15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10"/>
        <v>Nevada</v>
      </c>
      <c r="N257" t="str">
        <f t="shared" si="12"/>
        <v>M</v>
      </c>
      <c r="O257" t="str">
        <f t="shared" si="11"/>
        <v>High School or Below</v>
      </c>
    </row>
    <row r="258" spans="1:15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10"/>
        <v>Oregon</v>
      </c>
      <c r="N258" t="str">
        <f t="shared" si="12"/>
        <v>F</v>
      </c>
      <c r="O258" t="str">
        <f t="shared" si="11"/>
        <v>Bachelor</v>
      </c>
    </row>
    <row r="259" spans="1:15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13">IF(B259="Cali","California",IF(B259="AZ","Arizona",IF(B259="WA","Washington",B259)))</f>
        <v>California</v>
      </c>
      <c r="N259" t="str">
        <f t="shared" si="12"/>
        <v>F</v>
      </c>
      <c r="O259" t="str">
        <f t="shared" ref="O259:O322" si="14">IF(D259="Bachelors","Bachelor",D259)</f>
        <v>Master</v>
      </c>
    </row>
    <row r="260" spans="1:15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13"/>
        <v>Washington</v>
      </c>
      <c r="N260" t="str">
        <f t="shared" si="12"/>
        <v>M</v>
      </c>
      <c r="O260" t="str">
        <f t="shared" si="14"/>
        <v>Bachelor</v>
      </c>
    </row>
    <row r="261" spans="1:15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13"/>
        <v>Oregon</v>
      </c>
      <c r="N261" t="str">
        <f t="shared" si="12"/>
        <v>F</v>
      </c>
      <c r="O261" t="str">
        <f t="shared" si="14"/>
        <v>Bachelor</v>
      </c>
    </row>
    <row r="262" spans="1:15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13"/>
        <v>California</v>
      </c>
      <c r="N262" t="str">
        <f t="shared" si="12"/>
        <v>M</v>
      </c>
      <c r="O262" t="str">
        <f t="shared" si="14"/>
        <v>Bachelor</v>
      </c>
    </row>
    <row r="263" spans="1:15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13"/>
        <v>California</v>
      </c>
      <c r="N263" t="str">
        <f t="shared" si="12"/>
        <v>F</v>
      </c>
      <c r="O263" t="str">
        <f t="shared" si="14"/>
        <v>College</v>
      </c>
    </row>
    <row r="264" spans="1:15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13"/>
        <v>Arizona</v>
      </c>
      <c r="N264" t="str">
        <f t="shared" si="12"/>
        <v>F</v>
      </c>
      <c r="O264" t="str">
        <f t="shared" si="14"/>
        <v>College</v>
      </c>
    </row>
    <row r="265" spans="1:15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13"/>
        <v>Arizona</v>
      </c>
      <c r="N265" t="str">
        <f t="shared" ref="N265:N328" si="15">IF(OR(C265="F",C265="female",C265="Femal"),"F",IF(OR(C265="M",C265="male",C265="Male"),"M",C265))</f>
        <v>M</v>
      </c>
      <c r="O265" t="str">
        <f t="shared" si="14"/>
        <v>High School or Below</v>
      </c>
    </row>
    <row r="266" spans="1:15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13"/>
        <v>California</v>
      </c>
      <c r="N266" t="str">
        <f t="shared" si="15"/>
        <v>M</v>
      </c>
      <c r="O266" t="str">
        <f t="shared" si="14"/>
        <v>Bachelor</v>
      </c>
    </row>
    <row r="267" spans="1:15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13"/>
        <v>Oregon</v>
      </c>
      <c r="N267" t="str">
        <f t="shared" si="15"/>
        <v>M</v>
      </c>
      <c r="O267" t="str">
        <f t="shared" si="14"/>
        <v>College</v>
      </c>
    </row>
    <row r="268" spans="1:15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13"/>
        <v>Arizona</v>
      </c>
      <c r="N268" t="str">
        <f t="shared" si="15"/>
        <v>F</v>
      </c>
      <c r="O268" t="str">
        <f t="shared" si="14"/>
        <v>Master</v>
      </c>
    </row>
    <row r="269" spans="1:15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13"/>
        <v>Arizona</v>
      </c>
      <c r="N269" t="str">
        <f t="shared" si="15"/>
        <v>F</v>
      </c>
      <c r="O269" t="str">
        <f t="shared" si="14"/>
        <v>Bachelor</v>
      </c>
    </row>
    <row r="270" spans="1:15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13"/>
        <v>California</v>
      </c>
      <c r="N270" t="str">
        <f t="shared" si="15"/>
        <v>M</v>
      </c>
      <c r="O270" t="str">
        <f t="shared" si="14"/>
        <v>College</v>
      </c>
    </row>
    <row r="271" spans="1:15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13"/>
        <v>Arizona</v>
      </c>
      <c r="N271" t="str">
        <f t="shared" si="15"/>
        <v>F</v>
      </c>
      <c r="O271" t="str">
        <f t="shared" si="14"/>
        <v>High School or Below</v>
      </c>
    </row>
    <row r="272" spans="1:15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13"/>
        <v>Nevada</v>
      </c>
      <c r="N272" t="str">
        <f t="shared" si="15"/>
        <v>F</v>
      </c>
      <c r="O272" t="str">
        <f t="shared" si="14"/>
        <v>Master</v>
      </c>
    </row>
    <row r="273" spans="1:15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13"/>
        <v>Washington</v>
      </c>
      <c r="N273" t="str">
        <f t="shared" si="15"/>
        <v>M</v>
      </c>
      <c r="O273" t="str">
        <f t="shared" si="14"/>
        <v>High School or Below</v>
      </c>
    </row>
    <row r="274" spans="1:15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13"/>
        <v>Oregon</v>
      </c>
      <c r="N274" t="str">
        <f t="shared" si="15"/>
        <v>M</v>
      </c>
      <c r="O274" t="str">
        <f t="shared" si="14"/>
        <v>High School or Below</v>
      </c>
    </row>
    <row r="275" spans="1:15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13"/>
        <v>Arizona</v>
      </c>
      <c r="N275" t="str">
        <f t="shared" si="15"/>
        <v>F</v>
      </c>
      <c r="O275" t="str">
        <f t="shared" si="14"/>
        <v>High School or Below</v>
      </c>
    </row>
    <row r="276" spans="1:15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13"/>
        <v>Washington</v>
      </c>
      <c r="N276" t="str">
        <f t="shared" si="15"/>
        <v>F</v>
      </c>
      <c r="O276" t="str">
        <f t="shared" si="14"/>
        <v>Bachelor</v>
      </c>
    </row>
    <row r="277" spans="1:15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13"/>
        <v>Oregon</v>
      </c>
      <c r="N277" t="str">
        <f t="shared" si="15"/>
        <v>M</v>
      </c>
      <c r="O277" t="str">
        <f t="shared" si="14"/>
        <v>Master</v>
      </c>
    </row>
    <row r="278" spans="1:15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13"/>
        <v>Arizona</v>
      </c>
      <c r="N278" t="str">
        <f t="shared" si="15"/>
        <v>M</v>
      </c>
      <c r="O278" t="str">
        <f t="shared" si="14"/>
        <v>College</v>
      </c>
    </row>
    <row r="279" spans="1:15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13"/>
        <v>Arizona</v>
      </c>
      <c r="N279" t="str">
        <f t="shared" si="15"/>
        <v>F</v>
      </c>
      <c r="O279" t="str">
        <f t="shared" si="14"/>
        <v>High School or Below</v>
      </c>
    </row>
    <row r="280" spans="1:15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13"/>
        <v>California</v>
      </c>
      <c r="N280" t="str">
        <f t="shared" si="15"/>
        <v>M</v>
      </c>
      <c r="O280" t="str">
        <f t="shared" si="14"/>
        <v>College</v>
      </c>
    </row>
    <row r="281" spans="1:15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13"/>
        <v>Oregon</v>
      </c>
      <c r="N281" t="str">
        <f t="shared" si="15"/>
        <v>F</v>
      </c>
      <c r="O281" t="str">
        <f t="shared" si="14"/>
        <v>High School or Below</v>
      </c>
    </row>
    <row r="282" spans="1:15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13"/>
        <v>Nevada</v>
      </c>
      <c r="N282" t="str">
        <f t="shared" si="15"/>
        <v>M</v>
      </c>
      <c r="O282" t="str">
        <f t="shared" si="14"/>
        <v>College</v>
      </c>
    </row>
    <row r="283" spans="1:15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13"/>
        <v>California</v>
      </c>
      <c r="N283" t="str">
        <f t="shared" si="15"/>
        <v>M</v>
      </c>
      <c r="O283" t="str">
        <f t="shared" si="14"/>
        <v>Bachelor</v>
      </c>
    </row>
    <row r="284" spans="1:15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13"/>
        <v>Nevada</v>
      </c>
      <c r="N284" t="str">
        <f t="shared" si="15"/>
        <v>M</v>
      </c>
      <c r="O284" t="str">
        <f t="shared" si="14"/>
        <v>High School or Below</v>
      </c>
    </row>
    <row r="285" spans="1:15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13"/>
        <v>Washington</v>
      </c>
      <c r="N285" t="str">
        <f t="shared" si="15"/>
        <v>M</v>
      </c>
      <c r="O285" t="str">
        <f t="shared" si="14"/>
        <v>Bachelor</v>
      </c>
    </row>
    <row r="286" spans="1:15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13"/>
        <v>Washington</v>
      </c>
      <c r="N286" t="str">
        <f t="shared" si="15"/>
        <v>M</v>
      </c>
      <c r="O286" t="str">
        <f t="shared" si="14"/>
        <v>Bachelor</v>
      </c>
    </row>
    <row r="287" spans="1:15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13"/>
        <v>Arizona</v>
      </c>
      <c r="N287" t="str">
        <f t="shared" si="15"/>
        <v>F</v>
      </c>
      <c r="O287" t="str">
        <f t="shared" si="14"/>
        <v>High School or Below</v>
      </c>
    </row>
    <row r="288" spans="1:15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13"/>
        <v>Arizona</v>
      </c>
      <c r="N288" t="str">
        <f t="shared" si="15"/>
        <v>F</v>
      </c>
      <c r="O288" t="str">
        <f t="shared" si="14"/>
        <v>Bachelor</v>
      </c>
    </row>
    <row r="289" spans="1:15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13"/>
        <v>California</v>
      </c>
      <c r="N289" t="str">
        <f t="shared" si="15"/>
        <v>M</v>
      </c>
      <c r="O289" t="str">
        <f t="shared" si="14"/>
        <v>Bachelor</v>
      </c>
    </row>
    <row r="290" spans="1:15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13"/>
        <v>California</v>
      </c>
      <c r="N290" t="str">
        <f t="shared" si="15"/>
        <v>M</v>
      </c>
      <c r="O290" t="str">
        <f t="shared" si="14"/>
        <v>High School or Below</v>
      </c>
    </row>
    <row r="291" spans="1:15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13"/>
        <v>Washington</v>
      </c>
      <c r="N291" t="str">
        <f t="shared" si="15"/>
        <v>M</v>
      </c>
      <c r="O291" t="str">
        <f t="shared" si="14"/>
        <v>College</v>
      </c>
    </row>
    <row r="292" spans="1:15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13"/>
        <v>Oregon</v>
      </c>
      <c r="N292" t="str">
        <f t="shared" si="15"/>
        <v>F</v>
      </c>
      <c r="O292" t="str">
        <f t="shared" si="14"/>
        <v>Bachelor</v>
      </c>
    </row>
    <row r="293" spans="1:15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13"/>
        <v>California</v>
      </c>
      <c r="N293" t="str">
        <f t="shared" si="15"/>
        <v>M</v>
      </c>
      <c r="O293" t="str">
        <f t="shared" si="14"/>
        <v>High School or Below</v>
      </c>
    </row>
    <row r="294" spans="1:15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13"/>
        <v>Oregon</v>
      </c>
      <c r="N294" t="str">
        <f t="shared" si="15"/>
        <v>M</v>
      </c>
      <c r="O294" t="str">
        <f t="shared" si="14"/>
        <v>Master</v>
      </c>
    </row>
    <row r="295" spans="1:15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13"/>
        <v>Arizona</v>
      </c>
      <c r="N295" t="str">
        <f t="shared" si="15"/>
        <v>F</v>
      </c>
      <c r="O295" t="str">
        <f t="shared" si="14"/>
        <v>Bachelor</v>
      </c>
    </row>
    <row r="296" spans="1:15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13"/>
        <v>Oregon</v>
      </c>
      <c r="N296" t="str">
        <f t="shared" si="15"/>
        <v>F</v>
      </c>
      <c r="O296" t="str">
        <f t="shared" si="14"/>
        <v>High School or Below</v>
      </c>
    </row>
    <row r="297" spans="1:15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13"/>
        <v>Arizona</v>
      </c>
      <c r="N297" t="str">
        <f t="shared" si="15"/>
        <v>M</v>
      </c>
      <c r="O297" t="str">
        <f t="shared" si="14"/>
        <v>Doctor</v>
      </c>
    </row>
    <row r="298" spans="1:15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13"/>
        <v>California</v>
      </c>
      <c r="N298" t="str">
        <f t="shared" si="15"/>
        <v>M</v>
      </c>
      <c r="O298" t="str">
        <f t="shared" si="14"/>
        <v>College</v>
      </c>
    </row>
    <row r="299" spans="1:15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13"/>
        <v>Washington</v>
      </c>
      <c r="N299" t="str">
        <f t="shared" si="15"/>
        <v>F</v>
      </c>
      <c r="O299" t="str">
        <f t="shared" si="14"/>
        <v>Bachelor</v>
      </c>
    </row>
    <row r="300" spans="1:15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13"/>
        <v>Arizona</v>
      </c>
      <c r="N300" t="str">
        <f t="shared" si="15"/>
        <v>M</v>
      </c>
      <c r="O300" t="str">
        <f t="shared" si="14"/>
        <v>College</v>
      </c>
    </row>
    <row r="301" spans="1:15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13"/>
        <v>Oregon</v>
      </c>
      <c r="N301" t="str">
        <f t="shared" si="15"/>
        <v>M</v>
      </c>
      <c r="O301" t="str">
        <f t="shared" si="14"/>
        <v>High School or Below</v>
      </c>
    </row>
    <row r="302" spans="1:15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13"/>
        <v>California</v>
      </c>
      <c r="N302" t="str">
        <f t="shared" si="15"/>
        <v>M</v>
      </c>
      <c r="O302" t="str">
        <f t="shared" si="14"/>
        <v>College</v>
      </c>
    </row>
    <row r="303" spans="1:15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13"/>
        <v>Nevada</v>
      </c>
      <c r="N303" t="str">
        <f t="shared" si="15"/>
        <v>M</v>
      </c>
      <c r="O303" t="str">
        <f t="shared" si="14"/>
        <v>Bachelor</v>
      </c>
    </row>
    <row r="304" spans="1:15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13"/>
        <v>Oregon</v>
      </c>
      <c r="N304" t="str">
        <f t="shared" si="15"/>
        <v>M</v>
      </c>
      <c r="O304" t="str">
        <f t="shared" si="14"/>
        <v>High School or Below</v>
      </c>
    </row>
    <row r="305" spans="1:15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13"/>
        <v>Washington</v>
      </c>
      <c r="N305" t="str">
        <f t="shared" si="15"/>
        <v>F</v>
      </c>
      <c r="O305" t="str">
        <f t="shared" si="14"/>
        <v>College</v>
      </c>
    </row>
    <row r="306" spans="1:15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13"/>
        <v>Oregon</v>
      </c>
      <c r="N306" t="str">
        <f t="shared" si="15"/>
        <v>F</v>
      </c>
      <c r="O306" t="str">
        <f t="shared" si="14"/>
        <v>Bachelor</v>
      </c>
    </row>
    <row r="307" spans="1:15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13"/>
        <v>Washington</v>
      </c>
      <c r="N307" t="str">
        <f t="shared" si="15"/>
        <v>M</v>
      </c>
      <c r="O307" t="str">
        <f t="shared" si="14"/>
        <v>College</v>
      </c>
    </row>
    <row r="308" spans="1:15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13"/>
        <v>California</v>
      </c>
      <c r="N308" t="str">
        <f t="shared" si="15"/>
        <v>M</v>
      </c>
      <c r="O308" t="str">
        <f t="shared" si="14"/>
        <v>Bachelor</v>
      </c>
    </row>
    <row r="309" spans="1:15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13"/>
        <v>Oregon</v>
      </c>
      <c r="N309" t="str">
        <f t="shared" si="15"/>
        <v>M</v>
      </c>
      <c r="O309" t="str">
        <f t="shared" si="14"/>
        <v>College</v>
      </c>
    </row>
    <row r="310" spans="1:15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13"/>
        <v>Oregon</v>
      </c>
      <c r="N310" t="str">
        <f t="shared" si="15"/>
        <v>F</v>
      </c>
      <c r="O310" t="str">
        <f t="shared" si="14"/>
        <v>Bachelor</v>
      </c>
    </row>
    <row r="311" spans="1:15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13"/>
        <v>California</v>
      </c>
      <c r="N311" t="str">
        <f t="shared" si="15"/>
        <v>F</v>
      </c>
      <c r="O311" t="str">
        <f t="shared" si="14"/>
        <v>Bachelor</v>
      </c>
    </row>
    <row r="312" spans="1:15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13"/>
        <v>Oregon</v>
      </c>
      <c r="N312" t="str">
        <f t="shared" si="15"/>
        <v>M</v>
      </c>
      <c r="O312" t="str">
        <f t="shared" si="14"/>
        <v>Bachelor</v>
      </c>
    </row>
    <row r="313" spans="1:15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13"/>
        <v>Oregon</v>
      </c>
      <c r="N313" t="str">
        <f t="shared" si="15"/>
        <v>F</v>
      </c>
      <c r="O313" t="str">
        <f t="shared" si="14"/>
        <v>High School or Below</v>
      </c>
    </row>
    <row r="314" spans="1:15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13"/>
        <v>California</v>
      </c>
      <c r="N314" t="str">
        <f t="shared" si="15"/>
        <v>M</v>
      </c>
      <c r="O314" t="str">
        <f t="shared" si="14"/>
        <v>High School or Below</v>
      </c>
    </row>
    <row r="315" spans="1:15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13"/>
        <v>Oregon</v>
      </c>
      <c r="N315" t="str">
        <f t="shared" si="15"/>
        <v>F</v>
      </c>
      <c r="O315" t="str">
        <f t="shared" si="14"/>
        <v>Doctor</v>
      </c>
    </row>
    <row r="316" spans="1:15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13"/>
        <v>Oregon</v>
      </c>
      <c r="N316" t="str">
        <f t="shared" si="15"/>
        <v>F</v>
      </c>
      <c r="O316" t="str">
        <f t="shared" si="14"/>
        <v>Master</v>
      </c>
    </row>
    <row r="317" spans="1:15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13"/>
        <v>Oregon</v>
      </c>
      <c r="N317" t="str">
        <f t="shared" si="15"/>
        <v>M</v>
      </c>
      <c r="O317" t="str">
        <f t="shared" si="14"/>
        <v>Bachelor</v>
      </c>
    </row>
    <row r="318" spans="1:15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13"/>
        <v>Oregon</v>
      </c>
      <c r="N318" t="str">
        <f t="shared" si="15"/>
        <v>F</v>
      </c>
      <c r="O318" t="str">
        <f t="shared" si="14"/>
        <v>College</v>
      </c>
    </row>
    <row r="319" spans="1:15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13"/>
        <v>California</v>
      </c>
      <c r="N319" t="str">
        <f t="shared" si="15"/>
        <v>F</v>
      </c>
      <c r="O319" t="str">
        <f t="shared" si="14"/>
        <v>Bachelor</v>
      </c>
    </row>
    <row r="320" spans="1:15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13"/>
        <v>California</v>
      </c>
      <c r="N320" t="str">
        <f t="shared" si="15"/>
        <v>F</v>
      </c>
      <c r="O320" t="str">
        <f t="shared" si="14"/>
        <v>Bachelor</v>
      </c>
    </row>
    <row r="321" spans="1:15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13"/>
        <v>California</v>
      </c>
      <c r="N321" t="str">
        <f t="shared" si="15"/>
        <v>F</v>
      </c>
      <c r="O321" t="str">
        <f t="shared" si="14"/>
        <v>Master</v>
      </c>
    </row>
    <row r="322" spans="1:15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13"/>
        <v>Arizona</v>
      </c>
      <c r="N322" t="str">
        <f t="shared" si="15"/>
        <v>F</v>
      </c>
      <c r="O322" t="str">
        <f t="shared" si="14"/>
        <v>College</v>
      </c>
    </row>
    <row r="323" spans="1:15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16">IF(B323="Cali","California",IF(B323="AZ","Arizona",IF(B323="WA","Washington",B323)))</f>
        <v>Arizona</v>
      </c>
      <c r="N323" t="str">
        <f t="shared" si="15"/>
        <v>F</v>
      </c>
      <c r="O323" t="str">
        <f t="shared" ref="O323:O386" si="17">IF(D323="Bachelors","Bachelor",D323)</f>
        <v>Doctor</v>
      </c>
    </row>
    <row r="324" spans="1:15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16"/>
        <v>Oregon</v>
      </c>
      <c r="N324" t="str">
        <f t="shared" si="15"/>
        <v>M</v>
      </c>
      <c r="O324" t="str">
        <f t="shared" si="17"/>
        <v>Bachelor</v>
      </c>
    </row>
    <row r="325" spans="1:15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16"/>
        <v>California</v>
      </c>
      <c r="N325" t="str">
        <f t="shared" si="15"/>
        <v>F</v>
      </c>
      <c r="O325" t="str">
        <f t="shared" si="17"/>
        <v>College</v>
      </c>
    </row>
    <row r="326" spans="1:15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16"/>
        <v>California</v>
      </c>
      <c r="N326" t="str">
        <f t="shared" si="15"/>
        <v>M</v>
      </c>
      <c r="O326" t="str">
        <f t="shared" si="17"/>
        <v>Bachelor</v>
      </c>
    </row>
    <row r="327" spans="1:15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16"/>
        <v>California</v>
      </c>
      <c r="N327" t="str">
        <f t="shared" si="15"/>
        <v>M</v>
      </c>
      <c r="O327" t="str">
        <f t="shared" si="17"/>
        <v>College</v>
      </c>
    </row>
    <row r="328" spans="1:15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16"/>
        <v>Nevada</v>
      </c>
      <c r="N328" t="str">
        <f t="shared" si="15"/>
        <v>F</v>
      </c>
      <c r="O328" t="str">
        <f t="shared" si="17"/>
        <v>High School or Below</v>
      </c>
    </row>
    <row r="329" spans="1:15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16"/>
        <v>Nevada</v>
      </c>
      <c r="N329" t="str">
        <f t="shared" ref="N329:N392" si="18">IF(OR(C329="F",C329="female",C329="Femal"),"F",IF(OR(C329="M",C329="male",C329="Male"),"M",C329))</f>
        <v>F</v>
      </c>
      <c r="O329" t="str">
        <f t="shared" si="17"/>
        <v>Bachelor</v>
      </c>
    </row>
    <row r="330" spans="1:15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16"/>
        <v>Oregon</v>
      </c>
      <c r="N330" t="str">
        <f t="shared" si="18"/>
        <v>F</v>
      </c>
      <c r="O330" t="str">
        <f t="shared" si="17"/>
        <v>College</v>
      </c>
    </row>
    <row r="331" spans="1:15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16"/>
        <v>California</v>
      </c>
      <c r="N331" t="str">
        <f t="shared" si="18"/>
        <v>M</v>
      </c>
      <c r="O331" t="str">
        <f t="shared" si="17"/>
        <v>Bachelor</v>
      </c>
    </row>
    <row r="332" spans="1:15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16"/>
        <v>California</v>
      </c>
      <c r="N332" t="str">
        <f t="shared" si="18"/>
        <v>M</v>
      </c>
      <c r="O332" t="str">
        <f t="shared" si="17"/>
        <v>High School or Below</v>
      </c>
    </row>
    <row r="333" spans="1:15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16"/>
        <v>California</v>
      </c>
      <c r="N333" t="str">
        <f t="shared" si="18"/>
        <v>F</v>
      </c>
      <c r="O333" t="str">
        <f t="shared" si="17"/>
        <v>High School or Below</v>
      </c>
    </row>
    <row r="334" spans="1:15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16"/>
        <v>California</v>
      </c>
      <c r="N334" t="str">
        <f t="shared" si="18"/>
        <v>F</v>
      </c>
      <c r="O334" t="str">
        <f t="shared" si="17"/>
        <v>College</v>
      </c>
    </row>
    <row r="335" spans="1:15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16"/>
        <v>Oregon</v>
      </c>
      <c r="N335" t="str">
        <f t="shared" si="18"/>
        <v>M</v>
      </c>
      <c r="O335" t="str">
        <f t="shared" si="17"/>
        <v>High School or Below</v>
      </c>
    </row>
    <row r="336" spans="1:15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16"/>
        <v>Arizona</v>
      </c>
      <c r="N336" t="str">
        <f t="shared" si="18"/>
        <v>F</v>
      </c>
      <c r="O336" t="str">
        <f t="shared" si="17"/>
        <v>College</v>
      </c>
    </row>
    <row r="337" spans="1:15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16"/>
        <v>Arizona</v>
      </c>
      <c r="N337" t="str">
        <f t="shared" si="18"/>
        <v>M</v>
      </c>
      <c r="O337" t="str">
        <f t="shared" si="17"/>
        <v>High School or Below</v>
      </c>
    </row>
    <row r="338" spans="1:15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16"/>
        <v>California</v>
      </c>
      <c r="N338" t="str">
        <f t="shared" si="18"/>
        <v>M</v>
      </c>
      <c r="O338" t="str">
        <f t="shared" si="17"/>
        <v>College</v>
      </c>
    </row>
    <row r="339" spans="1:15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16"/>
        <v>California</v>
      </c>
      <c r="N339" t="str">
        <f t="shared" si="18"/>
        <v>M</v>
      </c>
      <c r="O339" t="str">
        <f t="shared" si="17"/>
        <v>Bachelor</v>
      </c>
    </row>
    <row r="340" spans="1:15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16"/>
        <v>Arizona</v>
      </c>
      <c r="N340" t="str">
        <f t="shared" si="18"/>
        <v>F</v>
      </c>
      <c r="O340" t="str">
        <f t="shared" si="17"/>
        <v>Bachelor</v>
      </c>
    </row>
    <row r="341" spans="1:15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16"/>
        <v>California</v>
      </c>
      <c r="N341" t="str">
        <f t="shared" si="18"/>
        <v>M</v>
      </c>
      <c r="O341" t="str">
        <f t="shared" si="17"/>
        <v>College</v>
      </c>
    </row>
    <row r="342" spans="1:15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16"/>
        <v>California</v>
      </c>
      <c r="N342" t="str">
        <f t="shared" si="18"/>
        <v>F</v>
      </c>
      <c r="O342" t="str">
        <f t="shared" si="17"/>
        <v>High School or Below</v>
      </c>
    </row>
    <row r="343" spans="1:15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16"/>
        <v>California</v>
      </c>
      <c r="N343" t="str">
        <f t="shared" si="18"/>
        <v>M</v>
      </c>
      <c r="O343" t="str">
        <f t="shared" si="17"/>
        <v>High School or Below</v>
      </c>
    </row>
    <row r="344" spans="1:15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16"/>
        <v>Oregon</v>
      </c>
      <c r="N344" t="str">
        <f t="shared" si="18"/>
        <v>M</v>
      </c>
      <c r="O344" t="str">
        <f t="shared" si="17"/>
        <v>High School or Below</v>
      </c>
    </row>
    <row r="345" spans="1:15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16"/>
        <v>California</v>
      </c>
      <c r="N345" t="str">
        <f t="shared" si="18"/>
        <v>F</v>
      </c>
      <c r="O345" t="str">
        <f t="shared" si="17"/>
        <v>High School or Below</v>
      </c>
    </row>
    <row r="346" spans="1:15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16"/>
        <v>California</v>
      </c>
      <c r="N346" t="str">
        <f t="shared" si="18"/>
        <v>F</v>
      </c>
      <c r="O346" t="str">
        <f t="shared" si="17"/>
        <v>High School or Below</v>
      </c>
    </row>
    <row r="347" spans="1:15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16"/>
        <v>Nevada</v>
      </c>
      <c r="N347" t="str">
        <f t="shared" si="18"/>
        <v>F</v>
      </c>
      <c r="O347" t="str">
        <f t="shared" si="17"/>
        <v>Bachelor</v>
      </c>
    </row>
    <row r="348" spans="1:15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16"/>
        <v>Oregon</v>
      </c>
      <c r="N348" t="str">
        <f t="shared" si="18"/>
        <v>M</v>
      </c>
      <c r="O348" t="str">
        <f t="shared" si="17"/>
        <v>High School or Below</v>
      </c>
    </row>
    <row r="349" spans="1:15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16"/>
        <v>Washington</v>
      </c>
      <c r="N349" t="str">
        <f t="shared" si="18"/>
        <v>F</v>
      </c>
      <c r="O349" t="str">
        <f t="shared" si="17"/>
        <v>Doctor</v>
      </c>
    </row>
    <row r="350" spans="1:15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16"/>
        <v>Nevada</v>
      </c>
      <c r="N350" t="str">
        <f t="shared" si="18"/>
        <v>F</v>
      </c>
      <c r="O350" t="str">
        <f t="shared" si="17"/>
        <v>Bachelor</v>
      </c>
    </row>
    <row r="351" spans="1:15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16"/>
        <v>Oregon</v>
      </c>
      <c r="N351" t="str">
        <f t="shared" si="18"/>
        <v>F</v>
      </c>
      <c r="O351" t="str">
        <f t="shared" si="17"/>
        <v>College</v>
      </c>
    </row>
    <row r="352" spans="1:15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16"/>
        <v>California</v>
      </c>
      <c r="N352" t="str">
        <f t="shared" si="18"/>
        <v>F</v>
      </c>
      <c r="O352" t="str">
        <f t="shared" si="17"/>
        <v>College</v>
      </c>
    </row>
    <row r="353" spans="1:15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16"/>
        <v>Arizona</v>
      </c>
      <c r="N353" t="str">
        <f t="shared" si="18"/>
        <v>F</v>
      </c>
      <c r="O353" t="str">
        <f t="shared" si="17"/>
        <v>College</v>
      </c>
    </row>
    <row r="354" spans="1:15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16"/>
        <v>California</v>
      </c>
      <c r="N354" t="str">
        <f t="shared" si="18"/>
        <v>F</v>
      </c>
      <c r="O354" t="str">
        <f t="shared" si="17"/>
        <v>High School or Below</v>
      </c>
    </row>
    <row r="355" spans="1:15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16"/>
        <v>Washington</v>
      </c>
      <c r="N355" t="str">
        <f t="shared" si="18"/>
        <v>M</v>
      </c>
      <c r="O355" t="str">
        <f t="shared" si="17"/>
        <v>Master</v>
      </c>
    </row>
    <row r="356" spans="1:15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16"/>
        <v>Washington</v>
      </c>
      <c r="N356" t="str">
        <f t="shared" si="18"/>
        <v>M</v>
      </c>
      <c r="O356" t="str">
        <f t="shared" si="17"/>
        <v>Bachelor</v>
      </c>
    </row>
    <row r="357" spans="1:15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16"/>
        <v>California</v>
      </c>
      <c r="N357" t="str">
        <f t="shared" si="18"/>
        <v>M</v>
      </c>
      <c r="O357" t="str">
        <f t="shared" si="17"/>
        <v>High School or Below</v>
      </c>
    </row>
    <row r="358" spans="1:15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16"/>
        <v>Oregon</v>
      </c>
      <c r="N358" t="str">
        <f t="shared" si="18"/>
        <v>F</v>
      </c>
      <c r="O358" t="str">
        <f t="shared" si="17"/>
        <v>Master</v>
      </c>
    </row>
    <row r="359" spans="1:15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16"/>
        <v>California</v>
      </c>
      <c r="N359" t="str">
        <f t="shared" si="18"/>
        <v>F</v>
      </c>
      <c r="O359" t="str">
        <f t="shared" si="17"/>
        <v>High School or Below</v>
      </c>
    </row>
    <row r="360" spans="1:15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16"/>
        <v>Nevada</v>
      </c>
      <c r="N360" t="str">
        <f t="shared" si="18"/>
        <v>F</v>
      </c>
      <c r="O360" t="str">
        <f t="shared" si="17"/>
        <v>College</v>
      </c>
    </row>
    <row r="361" spans="1:15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16"/>
        <v>California</v>
      </c>
      <c r="N361" t="str">
        <f t="shared" si="18"/>
        <v>M</v>
      </c>
      <c r="O361" t="str">
        <f t="shared" si="17"/>
        <v>Doctor</v>
      </c>
    </row>
    <row r="362" spans="1:15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16"/>
        <v>Nevada</v>
      </c>
      <c r="N362" t="str">
        <f t="shared" si="18"/>
        <v>M</v>
      </c>
      <c r="O362" t="str">
        <f t="shared" si="17"/>
        <v>College</v>
      </c>
    </row>
    <row r="363" spans="1:15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16"/>
        <v>Arizona</v>
      </c>
      <c r="N363" t="str">
        <f t="shared" si="18"/>
        <v>F</v>
      </c>
      <c r="O363" t="str">
        <f t="shared" si="17"/>
        <v>Bachelor</v>
      </c>
    </row>
    <row r="364" spans="1:15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16"/>
        <v>California</v>
      </c>
      <c r="N364" t="str">
        <f t="shared" si="18"/>
        <v>F</v>
      </c>
      <c r="O364" t="str">
        <f t="shared" si="17"/>
        <v>Bachelor</v>
      </c>
    </row>
    <row r="365" spans="1:15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16"/>
        <v>Oregon</v>
      </c>
      <c r="N365" t="str">
        <f t="shared" si="18"/>
        <v>M</v>
      </c>
      <c r="O365" t="str">
        <f t="shared" si="17"/>
        <v>Bachelor</v>
      </c>
    </row>
    <row r="366" spans="1:15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16"/>
        <v>California</v>
      </c>
      <c r="N366" t="str">
        <f t="shared" si="18"/>
        <v>M</v>
      </c>
      <c r="O366" t="str">
        <f t="shared" si="17"/>
        <v>High School or Below</v>
      </c>
    </row>
    <row r="367" spans="1:15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16"/>
        <v>Arizona</v>
      </c>
      <c r="N367" t="str">
        <f t="shared" si="18"/>
        <v>M</v>
      </c>
      <c r="O367" t="str">
        <f t="shared" si="17"/>
        <v>Bachelor</v>
      </c>
    </row>
    <row r="368" spans="1:15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16"/>
        <v>California</v>
      </c>
      <c r="N368" t="str">
        <f t="shared" si="18"/>
        <v>F</v>
      </c>
      <c r="O368" t="str">
        <f t="shared" si="17"/>
        <v>College</v>
      </c>
    </row>
    <row r="369" spans="1:15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16"/>
        <v>California</v>
      </c>
      <c r="N369" t="str">
        <f t="shared" si="18"/>
        <v>F</v>
      </c>
      <c r="O369" t="str">
        <f t="shared" si="17"/>
        <v>College</v>
      </c>
    </row>
    <row r="370" spans="1:15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16"/>
        <v>Oregon</v>
      </c>
      <c r="N370" t="str">
        <f t="shared" si="18"/>
        <v>F</v>
      </c>
      <c r="O370" t="str">
        <f t="shared" si="17"/>
        <v>Bachelor</v>
      </c>
    </row>
    <row r="371" spans="1:15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16"/>
        <v>Oregon</v>
      </c>
      <c r="N371" t="str">
        <f t="shared" si="18"/>
        <v>F</v>
      </c>
      <c r="O371" t="str">
        <f t="shared" si="17"/>
        <v>Master</v>
      </c>
    </row>
    <row r="372" spans="1:15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16"/>
        <v>California</v>
      </c>
      <c r="N372" t="str">
        <f t="shared" si="18"/>
        <v>M</v>
      </c>
      <c r="O372" t="str">
        <f t="shared" si="17"/>
        <v>Bachelor</v>
      </c>
    </row>
    <row r="373" spans="1:15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16"/>
        <v>California</v>
      </c>
      <c r="N373" t="str">
        <f t="shared" si="18"/>
        <v>F</v>
      </c>
      <c r="O373" t="str">
        <f t="shared" si="17"/>
        <v>High School or Below</v>
      </c>
    </row>
    <row r="374" spans="1:15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16"/>
        <v>Arizona</v>
      </c>
      <c r="N374" t="str">
        <f t="shared" si="18"/>
        <v>M</v>
      </c>
      <c r="O374" t="str">
        <f t="shared" si="17"/>
        <v>Bachelor</v>
      </c>
    </row>
    <row r="375" spans="1:15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16"/>
        <v>California</v>
      </c>
      <c r="N375" t="str">
        <f t="shared" si="18"/>
        <v>F</v>
      </c>
      <c r="O375" t="str">
        <f t="shared" si="17"/>
        <v>Bachelor</v>
      </c>
    </row>
    <row r="376" spans="1:15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16"/>
        <v>Oregon</v>
      </c>
      <c r="N376" t="str">
        <f t="shared" si="18"/>
        <v>F</v>
      </c>
      <c r="O376" t="str">
        <f t="shared" si="17"/>
        <v>Master</v>
      </c>
    </row>
    <row r="377" spans="1:15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16"/>
        <v>Arizona</v>
      </c>
      <c r="N377" t="str">
        <f t="shared" si="18"/>
        <v>M</v>
      </c>
      <c r="O377" t="str">
        <f t="shared" si="17"/>
        <v>College</v>
      </c>
    </row>
    <row r="378" spans="1:15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16"/>
        <v>California</v>
      </c>
      <c r="N378" t="str">
        <f t="shared" si="18"/>
        <v>F</v>
      </c>
      <c r="O378" t="str">
        <f t="shared" si="17"/>
        <v>High School or Below</v>
      </c>
    </row>
    <row r="379" spans="1:15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16"/>
        <v>California</v>
      </c>
      <c r="N379" t="str">
        <f t="shared" si="18"/>
        <v>F</v>
      </c>
      <c r="O379" t="str">
        <f t="shared" si="17"/>
        <v>Bachelor</v>
      </c>
    </row>
    <row r="380" spans="1:15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16"/>
        <v>Nevada</v>
      </c>
      <c r="N380" t="str">
        <f t="shared" si="18"/>
        <v>F</v>
      </c>
      <c r="O380" t="str">
        <f t="shared" si="17"/>
        <v>High School or Below</v>
      </c>
    </row>
    <row r="381" spans="1:15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16"/>
        <v>California</v>
      </c>
      <c r="N381" t="str">
        <f t="shared" si="18"/>
        <v>F</v>
      </c>
      <c r="O381" t="str">
        <f t="shared" si="17"/>
        <v>College</v>
      </c>
    </row>
    <row r="382" spans="1:15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16"/>
        <v>Arizona</v>
      </c>
      <c r="N382" t="str">
        <f t="shared" si="18"/>
        <v>M</v>
      </c>
      <c r="O382" t="str">
        <f t="shared" si="17"/>
        <v>College</v>
      </c>
    </row>
    <row r="383" spans="1:15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16"/>
        <v>Arizona</v>
      </c>
      <c r="N383" t="str">
        <f t="shared" si="18"/>
        <v>F</v>
      </c>
      <c r="O383" t="str">
        <f t="shared" si="17"/>
        <v>Bachelor</v>
      </c>
    </row>
    <row r="384" spans="1:15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16"/>
        <v>Washington</v>
      </c>
      <c r="N384" t="str">
        <f t="shared" si="18"/>
        <v>M</v>
      </c>
      <c r="O384" t="str">
        <f t="shared" si="17"/>
        <v>College</v>
      </c>
    </row>
    <row r="385" spans="1:15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16"/>
        <v>Arizona</v>
      </c>
      <c r="N385" t="str">
        <f t="shared" si="18"/>
        <v>F</v>
      </c>
      <c r="O385" t="str">
        <f t="shared" si="17"/>
        <v>College</v>
      </c>
    </row>
    <row r="386" spans="1:15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16"/>
        <v>Washington</v>
      </c>
      <c r="N386" t="str">
        <f t="shared" si="18"/>
        <v>M</v>
      </c>
      <c r="O386" t="str">
        <f t="shared" si="17"/>
        <v>Doctor</v>
      </c>
    </row>
    <row r="387" spans="1:15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19">IF(B387="Cali","California",IF(B387="AZ","Arizona",IF(B387="WA","Washington",B387)))</f>
        <v>Oregon</v>
      </c>
      <c r="N387" t="str">
        <f t="shared" si="18"/>
        <v>F</v>
      </c>
      <c r="O387" t="str">
        <f t="shared" ref="O387:O450" si="20">IF(D387="Bachelors","Bachelor",D387)</f>
        <v>College</v>
      </c>
    </row>
    <row r="388" spans="1:15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19"/>
        <v>Washington</v>
      </c>
      <c r="N388" t="str">
        <f t="shared" si="18"/>
        <v>M</v>
      </c>
      <c r="O388" t="str">
        <f t="shared" si="20"/>
        <v>Bachelor</v>
      </c>
    </row>
    <row r="389" spans="1:15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19"/>
        <v>Oregon</v>
      </c>
      <c r="N389" t="str">
        <f t="shared" si="18"/>
        <v>M</v>
      </c>
      <c r="O389" t="str">
        <f t="shared" si="20"/>
        <v>Bachelor</v>
      </c>
    </row>
    <row r="390" spans="1:15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19"/>
        <v>California</v>
      </c>
      <c r="N390" t="str">
        <f t="shared" si="18"/>
        <v>M</v>
      </c>
      <c r="O390" t="str">
        <f t="shared" si="20"/>
        <v>College</v>
      </c>
    </row>
    <row r="391" spans="1:15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19"/>
        <v>California</v>
      </c>
      <c r="N391" t="str">
        <f t="shared" si="18"/>
        <v>F</v>
      </c>
      <c r="O391" t="str">
        <f t="shared" si="20"/>
        <v>Master</v>
      </c>
    </row>
    <row r="392" spans="1:15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19"/>
        <v>California</v>
      </c>
      <c r="N392" t="str">
        <f t="shared" si="18"/>
        <v>M</v>
      </c>
      <c r="O392" t="str">
        <f t="shared" si="20"/>
        <v>Master</v>
      </c>
    </row>
    <row r="393" spans="1:15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19"/>
        <v>California</v>
      </c>
      <c r="N393" t="str">
        <f t="shared" ref="N393:N456" si="21">IF(OR(C393="F",C393="female",C393="Femal"),"F",IF(OR(C393="M",C393="male",C393="Male"),"M",C393))</f>
        <v>M</v>
      </c>
      <c r="O393" t="str">
        <f t="shared" si="20"/>
        <v>Bachelor</v>
      </c>
    </row>
    <row r="394" spans="1:15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19"/>
        <v>California</v>
      </c>
      <c r="N394" t="str">
        <f t="shared" si="21"/>
        <v>F</v>
      </c>
      <c r="O394" t="str">
        <f t="shared" si="20"/>
        <v>College</v>
      </c>
    </row>
    <row r="395" spans="1:15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19"/>
        <v>Nevada</v>
      </c>
      <c r="N395" t="str">
        <f t="shared" si="21"/>
        <v>M</v>
      </c>
      <c r="O395" t="str">
        <f t="shared" si="20"/>
        <v>Bachelor</v>
      </c>
    </row>
    <row r="396" spans="1:15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19"/>
        <v>Washington</v>
      </c>
      <c r="N396" t="str">
        <f t="shared" si="21"/>
        <v>F</v>
      </c>
      <c r="O396" t="str">
        <f t="shared" si="20"/>
        <v>Master</v>
      </c>
    </row>
    <row r="397" spans="1:15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19"/>
        <v>Oregon</v>
      </c>
      <c r="N397" t="str">
        <f t="shared" si="21"/>
        <v>M</v>
      </c>
      <c r="O397" t="str">
        <f t="shared" si="20"/>
        <v>High School or Below</v>
      </c>
    </row>
    <row r="398" spans="1:15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19"/>
        <v>Oregon</v>
      </c>
      <c r="N398" t="str">
        <f t="shared" si="21"/>
        <v>M</v>
      </c>
      <c r="O398" t="str">
        <f t="shared" si="20"/>
        <v>Bachelor</v>
      </c>
    </row>
    <row r="399" spans="1:15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19"/>
        <v>Arizona</v>
      </c>
      <c r="N399" t="str">
        <f t="shared" si="21"/>
        <v>F</v>
      </c>
      <c r="O399" t="str">
        <f t="shared" si="20"/>
        <v>Bachelor</v>
      </c>
    </row>
    <row r="400" spans="1:15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19"/>
        <v>Nevada</v>
      </c>
      <c r="N400" t="str">
        <f t="shared" si="21"/>
        <v>F</v>
      </c>
      <c r="O400" t="str">
        <f t="shared" si="20"/>
        <v>High School or Below</v>
      </c>
    </row>
    <row r="401" spans="1:15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19"/>
        <v>Oregon</v>
      </c>
      <c r="N401" t="str">
        <f t="shared" si="21"/>
        <v>M</v>
      </c>
      <c r="O401" t="str">
        <f t="shared" si="20"/>
        <v>High School or Below</v>
      </c>
    </row>
    <row r="402" spans="1:15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19"/>
        <v>Washington</v>
      </c>
      <c r="N402" t="str">
        <f t="shared" si="21"/>
        <v>M</v>
      </c>
      <c r="O402" t="str">
        <f t="shared" si="20"/>
        <v>Doctor</v>
      </c>
    </row>
    <row r="403" spans="1:15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19"/>
        <v>Washington</v>
      </c>
      <c r="N403" t="str">
        <f t="shared" si="21"/>
        <v>M</v>
      </c>
      <c r="O403" t="str">
        <f t="shared" si="20"/>
        <v>High School or Below</v>
      </c>
    </row>
    <row r="404" spans="1:15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19"/>
        <v>Oregon</v>
      </c>
      <c r="N404" t="str">
        <f t="shared" si="21"/>
        <v>M</v>
      </c>
      <c r="O404" t="str">
        <f t="shared" si="20"/>
        <v>College</v>
      </c>
    </row>
    <row r="405" spans="1:15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19"/>
        <v>Arizona</v>
      </c>
      <c r="N405" t="str">
        <f t="shared" si="21"/>
        <v>F</v>
      </c>
      <c r="O405" t="str">
        <f t="shared" si="20"/>
        <v>College</v>
      </c>
    </row>
    <row r="406" spans="1:15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19"/>
        <v>Nevada</v>
      </c>
      <c r="N406" t="str">
        <f t="shared" si="21"/>
        <v>F</v>
      </c>
      <c r="O406" t="str">
        <f t="shared" si="20"/>
        <v>Bachelor</v>
      </c>
    </row>
    <row r="407" spans="1:15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19"/>
        <v>California</v>
      </c>
      <c r="N407" t="str">
        <f t="shared" si="21"/>
        <v>F</v>
      </c>
      <c r="O407" t="str">
        <f t="shared" si="20"/>
        <v>High School or Below</v>
      </c>
    </row>
    <row r="408" spans="1:15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19"/>
        <v>Oregon</v>
      </c>
      <c r="N408" t="str">
        <f t="shared" si="21"/>
        <v>M</v>
      </c>
      <c r="O408" t="str">
        <f t="shared" si="20"/>
        <v>High School or Below</v>
      </c>
    </row>
    <row r="409" spans="1:15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19"/>
        <v>California</v>
      </c>
      <c r="N409" t="str">
        <f t="shared" si="21"/>
        <v>F</v>
      </c>
      <c r="O409" t="str">
        <f t="shared" si="20"/>
        <v>Master</v>
      </c>
    </row>
    <row r="410" spans="1:15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19"/>
        <v>Arizona</v>
      </c>
      <c r="N410" t="str">
        <f t="shared" si="21"/>
        <v>F</v>
      </c>
      <c r="O410" t="str">
        <f t="shared" si="20"/>
        <v>High School or Below</v>
      </c>
    </row>
    <row r="411" spans="1:15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19"/>
        <v>California</v>
      </c>
      <c r="N411" t="str">
        <f t="shared" si="21"/>
        <v>M</v>
      </c>
      <c r="O411" t="str">
        <f t="shared" si="20"/>
        <v>High School or Below</v>
      </c>
    </row>
    <row r="412" spans="1:15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19"/>
        <v>Oregon</v>
      </c>
      <c r="N412" t="str">
        <f t="shared" si="21"/>
        <v>M</v>
      </c>
      <c r="O412" t="str">
        <f t="shared" si="20"/>
        <v>College</v>
      </c>
    </row>
    <row r="413" spans="1:15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19"/>
        <v>California</v>
      </c>
      <c r="N413" t="str">
        <f t="shared" si="21"/>
        <v>F</v>
      </c>
      <c r="O413" t="str">
        <f t="shared" si="20"/>
        <v>College</v>
      </c>
    </row>
    <row r="414" spans="1:15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19"/>
        <v>Oregon</v>
      </c>
      <c r="N414" t="str">
        <f t="shared" si="21"/>
        <v>F</v>
      </c>
      <c r="O414" t="str">
        <f t="shared" si="20"/>
        <v>Master</v>
      </c>
    </row>
    <row r="415" spans="1:15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19"/>
        <v>California</v>
      </c>
      <c r="N415" t="str">
        <f t="shared" si="21"/>
        <v>F</v>
      </c>
      <c r="O415" t="str">
        <f t="shared" si="20"/>
        <v>High School or Below</v>
      </c>
    </row>
    <row r="416" spans="1:15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19"/>
        <v>Arizona</v>
      </c>
      <c r="N416" t="str">
        <f t="shared" si="21"/>
        <v>F</v>
      </c>
      <c r="O416" t="str">
        <f t="shared" si="20"/>
        <v>College</v>
      </c>
    </row>
    <row r="417" spans="1:15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19"/>
        <v>Oregon</v>
      </c>
      <c r="N417" t="str">
        <f t="shared" si="21"/>
        <v>F</v>
      </c>
      <c r="O417" t="str">
        <f t="shared" si="20"/>
        <v>College</v>
      </c>
    </row>
    <row r="418" spans="1:15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19"/>
        <v>Washington</v>
      </c>
      <c r="N418" t="str">
        <f t="shared" si="21"/>
        <v>M</v>
      </c>
      <c r="O418" t="str">
        <f t="shared" si="20"/>
        <v>High School or Below</v>
      </c>
    </row>
    <row r="419" spans="1:15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19"/>
        <v>Oregon</v>
      </c>
      <c r="N419" t="str">
        <f t="shared" si="21"/>
        <v>M</v>
      </c>
      <c r="O419" t="str">
        <f t="shared" si="20"/>
        <v>Bachelor</v>
      </c>
    </row>
    <row r="420" spans="1:15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19"/>
        <v>Nevada</v>
      </c>
      <c r="N420" t="str">
        <f t="shared" si="21"/>
        <v>M</v>
      </c>
      <c r="O420" t="str">
        <f t="shared" si="20"/>
        <v>College</v>
      </c>
    </row>
    <row r="421" spans="1:15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19"/>
        <v>Oregon</v>
      </c>
      <c r="N421" t="str">
        <f t="shared" si="21"/>
        <v>M</v>
      </c>
      <c r="O421" t="str">
        <f t="shared" si="20"/>
        <v>Master</v>
      </c>
    </row>
    <row r="422" spans="1:15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19"/>
        <v>Oregon</v>
      </c>
      <c r="N422" t="str">
        <f t="shared" si="21"/>
        <v>M</v>
      </c>
      <c r="O422" t="str">
        <f t="shared" si="20"/>
        <v>College</v>
      </c>
    </row>
    <row r="423" spans="1:15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19"/>
        <v>Oregon</v>
      </c>
      <c r="N423" t="str">
        <f t="shared" si="21"/>
        <v>F</v>
      </c>
      <c r="O423" t="str">
        <f t="shared" si="20"/>
        <v>College</v>
      </c>
    </row>
    <row r="424" spans="1:15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19"/>
        <v>Arizona</v>
      </c>
      <c r="N424" t="str">
        <f t="shared" si="21"/>
        <v>M</v>
      </c>
      <c r="O424" t="str">
        <f t="shared" si="20"/>
        <v>High School or Below</v>
      </c>
    </row>
    <row r="425" spans="1:15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19"/>
        <v>Oregon</v>
      </c>
      <c r="N425" t="str">
        <f t="shared" si="21"/>
        <v>F</v>
      </c>
      <c r="O425" t="str">
        <f t="shared" si="20"/>
        <v>College</v>
      </c>
    </row>
    <row r="426" spans="1:15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19"/>
        <v>Oregon</v>
      </c>
      <c r="N426" t="str">
        <f t="shared" si="21"/>
        <v>F</v>
      </c>
      <c r="O426" t="str">
        <f t="shared" si="20"/>
        <v>High School or Below</v>
      </c>
    </row>
    <row r="427" spans="1:15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19"/>
        <v>California</v>
      </c>
      <c r="N427" t="str">
        <f t="shared" si="21"/>
        <v>M</v>
      </c>
      <c r="O427" t="str">
        <f t="shared" si="20"/>
        <v>Bachelor</v>
      </c>
    </row>
    <row r="428" spans="1:15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19"/>
        <v>Arizona</v>
      </c>
      <c r="N428" t="str">
        <f t="shared" si="21"/>
        <v>F</v>
      </c>
      <c r="O428" t="str">
        <f t="shared" si="20"/>
        <v>Master</v>
      </c>
    </row>
    <row r="429" spans="1:15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19"/>
        <v>Oregon</v>
      </c>
      <c r="N429" t="str">
        <f t="shared" si="21"/>
        <v>M</v>
      </c>
      <c r="O429" t="str">
        <f t="shared" si="20"/>
        <v>Master</v>
      </c>
    </row>
    <row r="430" spans="1:15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19"/>
        <v>Oregon</v>
      </c>
      <c r="N430" t="str">
        <f t="shared" si="21"/>
        <v>M</v>
      </c>
      <c r="O430" t="str">
        <f t="shared" si="20"/>
        <v>High School or Below</v>
      </c>
    </row>
    <row r="431" spans="1:15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19"/>
        <v>Oregon</v>
      </c>
      <c r="N431" t="str">
        <f t="shared" si="21"/>
        <v>M</v>
      </c>
      <c r="O431" t="str">
        <f t="shared" si="20"/>
        <v>High School or Below</v>
      </c>
    </row>
    <row r="432" spans="1:15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19"/>
        <v>Washington</v>
      </c>
      <c r="N432" t="str">
        <f t="shared" si="21"/>
        <v>M</v>
      </c>
      <c r="O432" t="str">
        <f t="shared" si="20"/>
        <v>Bachelor</v>
      </c>
    </row>
    <row r="433" spans="1:15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19"/>
        <v>Washington</v>
      </c>
      <c r="N433" t="str">
        <f t="shared" si="21"/>
        <v>F</v>
      </c>
      <c r="O433" t="str">
        <f t="shared" si="20"/>
        <v>Bachelor</v>
      </c>
    </row>
    <row r="434" spans="1:15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19"/>
        <v>California</v>
      </c>
      <c r="N434" t="str">
        <f t="shared" si="21"/>
        <v>M</v>
      </c>
      <c r="O434" t="str">
        <f t="shared" si="20"/>
        <v>College</v>
      </c>
    </row>
    <row r="435" spans="1:15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19"/>
        <v>Oregon</v>
      </c>
      <c r="N435" t="str">
        <f t="shared" si="21"/>
        <v>F</v>
      </c>
      <c r="O435" t="str">
        <f t="shared" si="20"/>
        <v>Master</v>
      </c>
    </row>
    <row r="436" spans="1:15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19"/>
        <v>Washington</v>
      </c>
      <c r="N436" t="str">
        <f t="shared" si="21"/>
        <v>F</v>
      </c>
      <c r="O436" t="str">
        <f t="shared" si="20"/>
        <v>College</v>
      </c>
    </row>
    <row r="437" spans="1:15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19"/>
        <v>California</v>
      </c>
      <c r="N437" t="str">
        <f t="shared" si="21"/>
        <v>M</v>
      </c>
      <c r="O437" t="str">
        <f t="shared" si="20"/>
        <v>Doctor</v>
      </c>
    </row>
    <row r="438" spans="1:15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19"/>
        <v>Washington</v>
      </c>
      <c r="N438" t="str">
        <f t="shared" si="21"/>
        <v>M</v>
      </c>
      <c r="O438" t="str">
        <f t="shared" si="20"/>
        <v>High School or Below</v>
      </c>
    </row>
    <row r="439" spans="1:15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19"/>
        <v>Oregon</v>
      </c>
      <c r="N439" t="str">
        <f t="shared" si="21"/>
        <v>F</v>
      </c>
      <c r="O439" t="str">
        <f t="shared" si="20"/>
        <v>Bachelor</v>
      </c>
    </row>
    <row r="440" spans="1:15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19"/>
        <v>Nevada</v>
      </c>
      <c r="N440" t="str">
        <f t="shared" si="21"/>
        <v>M</v>
      </c>
      <c r="O440" t="str">
        <f t="shared" si="20"/>
        <v>High School or Below</v>
      </c>
    </row>
    <row r="441" spans="1:15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19"/>
        <v>Oregon</v>
      </c>
      <c r="N441" t="str">
        <f t="shared" si="21"/>
        <v>F</v>
      </c>
      <c r="O441" t="str">
        <f t="shared" si="20"/>
        <v>College</v>
      </c>
    </row>
    <row r="442" spans="1:15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19"/>
        <v>Washington</v>
      </c>
      <c r="N442" t="str">
        <f t="shared" si="21"/>
        <v>M</v>
      </c>
      <c r="O442" t="str">
        <f t="shared" si="20"/>
        <v>High School or Below</v>
      </c>
    </row>
    <row r="443" spans="1:15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19"/>
        <v>Nevada</v>
      </c>
      <c r="N443" t="str">
        <f t="shared" si="21"/>
        <v>M</v>
      </c>
      <c r="O443" t="str">
        <f t="shared" si="20"/>
        <v>High School or Below</v>
      </c>
    </row>
    <row r="444" spans="1:15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19"/>
        <v>Oregon</v>
      </c>
      <c r="N444" t="str">
        <f t="shared" si="21"/>
        <v>M</v>
      </c>
      <c r="O444" t="str">
        <f t="shared" si="20"/>
        <v>College</v>
      </c>
    </row>
    <row r="445" spans="1:15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19"/>
        <v>Oregon</v>
      </c>
      <c r="N445" t="str">
        <f t="shared" si="21"/>
        <v>F</v>
      </c>
      <c r="O445" t="str">
        <f t="shared" si="20"/>
        <v>High School or Below</v>
      </c>
    </row>
    <row r="446" spans="1:15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19"/>
        <v>Arizona</v>
      </c>
      <c r="N446" t="str">
        <f t="shared" si="21"/>
        <v>F</v>
      </c>
      <c r="O446" t="str">
        <f t="shared" si="20"/>
        <v>College</v>
      </c>
    </row>
    <row r="447" spans="1:15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19"/>
        <v>California</v>
      </c>
      <c r="N447" t="str">
        <f t="shared" si="21"/>
        <v>F</v>
      </c>
      <c r="O447" t="str">
        <f t="shared" si="20"/>
        <v>Bachelor</v>
      </c>
    </row>
    <row r="448" spans="1:15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19"/>
        <v>California</v>
      </c>
      <c r="N448" t="str">
        <f t="shared" si="21"/>
        <v>M</v>
      </c>
      <c r="O448" t="str">
        <f t="shared" si="20"/>
        <v>High School or Below</v>
      </c>
    </row>
    <row r="449" spans="1:15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19"/>
        <v>California</v>
      </c>
      <c r="N449" t="str">
        <f t="shared" si="21"/>
        <v>M</v>
      </c>
      <c r="O449" t="str">
        <f t="shared" si="20"/>
        <v>High School or Below</v>
      </c>
    </row>
    <row r="450" spans="1:15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19"/>
        <v>Nevada</v>
      </c>
      <c r="N450" t="str">
        <f t="shared" si="21"/>
        <v>M</v>
      </c>
      <c r="O450" t="str">
        <f t="shared" si="20"/>
        <v>Bachelor</v>
      </c>
    </row>
    <row r="451" spans="1:15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22">IF(B451="Cali","California",IF(B451="AZ","Arizona",IF(B451="WA","Washington",B451)))</f>
        <v>Washington</v>
      </c>
      <c r="N451" t="str">
        <f t="shared" si="21"/>
        <v>NA</v>
      </c>
      <c r="O451" t="str">
        <f t="shared" ref="O451:O514" si="23">IF(D451="Bachelors","Bachelor",D451)</f>
        <v>College</v>
      </c>
    </row>
    <row r="452" spans="1:15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22"/>
        <v>Oregon</v>
      </c>
      <c r="N452" t="str">
        <f t="shared" si="21"/>
        <v>F</v>
      </c>
      <c r="O452" t="str">
        <f t="shared" si="23"/>
        <v>Bachelor</v>
      </c>
    </row>
    <row r="453" spans="1:15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22"/>
        <v>Oregon</v>
      </c>
      <c r="N453" t="str">
        <f t="shared" si="21"/>
        <v>M</v>
      </c>
      <c r="O453" t="str">
        <f t="shared" si="23"/>
        <v>Bachelor</v>
      </c>
    </row>
    <row r="454" spans="1:15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22"/>
        <v>Oregon</v>
      </c>
      <c r="N454" t="str">
        <f t="shared" si="21"/>
        <v>F</v>
      </c>
      <c r="O454" t="str">
        <f t="shared" si="23"/>
        <v>High School or Below</v>
      </c>
    </row>
    <row r="455" spans="1:15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22"/>
        <v>Nevada</v>
      </c>
      <c r="N455" t="str">
        <f t="shared" si="21"/>
        <v>M</v>
      </c>
      <c r="O455" t="str">
        <f t="shared" si="23"/>
        <v>Master</v>
      </c>
    </row>
    <row r="456" spans="1:15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22"/>
        <v>Nevada</v>
      </c>
      <c r="N456" t="str">
        <f t="shared" si="21"/>
        <v>M</v>
      </c>
      <c r="O456" t="str">
        <f t="shared" si="23"/>
        <v>College</v>
      </c>
    </row>
    <row r="457" spans="1:15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22"/>
        <v>Oregon</v>
      </c>
      <c r="N457" t="str">
        <f t="shared" ref="N457:N520" si="24">IF(OR(C457="F",C457="female",C457="Femal"),"F",IF(OR(C457="M",C457="male",C457="Male"),"M",C457))</f>
        <v>M</v>
      </c>
      <c r="O457" t="str">
        <f t="shared" si="23"/>
        <v>Bachelor</v>
      </c>
    </row>
    <row r="458" spans="1:15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22"/>
        <v>Nevada</v>
      </c>
      <c r="N458" t="str">
        <f t="shared" si="24"/>
        <v>M</v>
      </c>
      <c r="O458" t="str">
        <f t="shared" si="23"/>
        <v>Doctor</v>
      </c>
    </row>
    <row r="459" spans="1:15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22"/>
        <v>California</v>
      </c>
      <c r="N459" t="str">
        <f t="shared" si="24"/>
        <v>F</v>
      </c>
      <c r="O459" t="str">
        <f t="shared" si="23"/>
        <v>Bachelor</v>
      </c>
    </row>
    <row r="460" spans="1:15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22"/>
        <v>California</v>
      </c>
      <c r="N460" t="str">
        <f t="shared" si="24"/>
        <v>M</v>
      </c>
      <c r="O460" t="str">
        <f t="shared" si="23"/>
        <v>High School or Below</v>
      </c>
    </row>
    <row r="461" spans="1:15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22"/>
        <v>California</v>
      </c>
      <c r="N461" t="str">
        <f t="shared" si="24"/>
        <v>F</v>
      </c>
      <c r="O461" t="str">
        <f t="shared" si="23"/>
        <v>Bachelor</v>
      </c>
    </row>
    <row r="462" spans="1:15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22"/>
        <v>Oregon</v>
      </c>
      <c r="N462" t="str">
        <f t="shared" si="24"/>
        <v>F</v>
      </c>
      <c r="O462" t="str">
        <f t="shared" si="23"/>
        <v>High School or Below</v>
      </c>
    </row>
    <row r="463" spans="1:15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22"/>
        <v>California</v>
      </c>
      <c r="N463" t="str">
        <f t="shared" si="24"/>
        <v>F</v>
      </c>
      <c r="O463" t="str">
        <f t="shared" si="23"/>
        <v>College</v>
      </c>
    </row>
    <row r="464" spans="1:15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22"/>
        <v>Nevada</v>
      </c>
      <c r="N464" t="str">
        <f t="shared" si="24"/>
        <v>M</v>
      </c>
      <c r="O464" t="str">
        <f t="shared" si="23"/>
        <v>College</v>
      </c>
    </row>
    <row r="465" spans="1:15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22"/>
        <v>Arizona</v>
      </c>
      <c r="N465" t="str">
        <f t="shared" si="24"/>
        <v>M</v>
      </c>
      <c r="O465" t="str">
        <f t="shared" si="23"/>
        <v>Doctor</v>
      </c>
    </row>
    <row r="466" spans="1:15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22"/>
        <v>Oregon</v>
      </c>
      <c r="N466" t="str">
        <f t="shared" si="24"/>
        <v>M</v>
      </c>
      <c r="O466" t="str">
        <f t="shared" si="23"/>
        <v>College</v>
      </c>
    </row>
    <row r="467" spans="1:15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22"/>
        <v>Oregon</v>
      </c>
      <c r="N467" t="str">
        <f t="shared" si="24"/>
        <v>M</v>
      </c>
      <c r="O467" t="str">
        <f t="shared" si="23"/>
        <v>Bachelor</v>
      </c>
    </row>
    <row r="468" spans="1:15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22"/>
        <v>California</v>
      </c>
      <c r="N468" t="str">
        <f t="shared" si="24"/>
        <v>M</v>
      </c>
      <c r="O468" t="str">
        <f t="shared" si="23"/>
        <v>Bachelor</v>
      </c>
    </row>
    <row r="469" spans="1:15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22"/>
        <v>Oregon</v>
      </c>
      <c r="N469" t="str">
        <f t="shared" si="24"/>
        <v>F</v>
      </c>
      <c r="O469" t="str">
        <f t="shared" si="23"/>
        <v>Bachelor</v>
      </c>
    </row>
    <row r="470" spans="1:15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22"/>
        <v>Arizona</v>
      </c>
      <c r="N470" t="str">
        <f t="shared" si="24"/>
        <v>F</v>
      </c>
      <c r="O470" t="str">
        <f t="shared" si="23"/>
        <v>Bachelor</v>
      </c>
    </row>
    <row r="471" spans="1:15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22"/>
        <v>California</v>
      </c>
      <c r="N471" t="str">
        <f t="shared" si="24"/>
        <v>M</v>
      </c>
      <c r="O471" t="str">
        <f t="shared" si="23"/>
        <v>College</v>
      </c>
    </row>
    <row r="472" spans="1:15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22"/>
        <v>California</v>
      </c>
      <c r="N472" t="str">
        <f t="shared" si="24"/>
        <v>M</v>
      </c>
      <c r="O472" t="str">
        <f t="shared" si="23"/>
        <v>High School or Below</v>
      </c>
    </row>
    <row r="473" spans="1:15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22"/>
        <v>Arizona</v>
      </c>
      <c r="N473" t="str">
        <f t="shared" si="24"/>
        <v>F</v>
      </c>
      <c r="O473" t="str">
        <f t="shared" si="23"/>
        <v>College</v>
      </c>
    </row>
    <row r="474" spans="1:15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22"/>
        <v>Arizona</v>
      </c>
      <c r="N474" t="str">
        <f t="shared" si="24"/>
        <v>M</v>
      </c>
      <c r="O474" t="str">
        <f t="shared" si="23"/>
        <v>Bachelor</v>
      </c>
    </row>
    <row r="475" spans="1:15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22"/>
        <v>Arizona</v>
      </c>
      <c r="N475" t="str">
        <f t="shared" si="24"/>
        <v>M</v>
      </c>
      <c r="O475" t="str">
        <f t="shared" si="23"/>
        <v>High School or Below</v>
      </c>
    </row>
    <row r="476" spans="1:15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22"/>
        <v>Arizona</v>
      </c>
      <c r="N476" t="str">
        <f t="shared" si="24"/>
        <v>F</v>
      </c>
      <c r="O476" t="str">
        <f t="shared" si="23"/>
        <v>College</v>
      </c>
    </row>
    <row r="477" spans="1:15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22"/>
        <v>Oregon</v>
      </c>
      <c r="N477" t="str">
        <f t="shared" si="24"/>
        <v>F</v>
      </c>
      <c r="O477" t="str">
        <f t="shared" si="23"/>
        <v>Bachelor</v>
      </c>
    </row>
    <row r="478" spans="1:15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22"/>
        <v>Nevada</v>
      </c>
      <c r="N478" t="str">
        <f t="shared" si="24"/>
        <v>M</v>
      </c>
      <c r="O478" t="str">
        <f t="shared" si="23"/>
        <v>College</v>
      </c>
    </row>
    <row r="479" spans="1:15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22"/>
        <v>Arizona</v>
      </c>
      <c r="N479" t="str">
        <f t="shared" si="24"/>
        <v>M</v>
      </c>
      <c r="O479" t="str">
        <f t="shared" si="23"/>
        <v>College</v>
      </c>
    </row>
    <row r="480" spans="1:15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22"/>
        <v>Oregon</v>
      </c>
      <c r="N480" t="str">
        <f t="shared" si="24"/>
        <v>F</v>
      </c>
      <c r="O480" t="str">
        <f t="shared" si="23"/>
        <v>High School or Below</v>
      </c>
    </row>
    <row r="481" spans="1:15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22"/>
        <v>Washington</v>
      </c>
      <c r="N481" t="str">
        <f t="shared" si="24"/>
        <v>F</v>
      </c>
      <c r="O481" t="str">
        <f t="shared" si="23"/>
        <v>College</v>
      </c>
    </row>
    <row r="482" spans="1:15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22"/>
        <v>Oregon</v>
      </c>
      <c r="N482" t="str">
        <f t="shared" si="24"/>
        <v>M</v>
      </c>
      <c r="O482" t="str">
        <f t="shared" si="23"/>
        <v>Bachelor</v>
      </c>
    </row>
    <row r="483" spans="1:15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22"/>
        <v>Washington</v>
      </c>
      <c r="N483" t="str">
        <f t="shared" si="24"/>
        <v>M</v>
      </c>
      <c r="O483" t="str">
        <f t="shared" si="23"/>
        <v>Master</v>
      </c>
    </row>
    <row r="484" spans="1:15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22"/>
        <v>Arizona</v>
      </c>
      <c r="N484" t="str">
        <f t="shared" si="24"/>
        <v>F</v>
      </c>
      <c r="O484" t="str">
        <f t="shared" si="23"/>
        <v>College</v>
      </c>
    </row>
    <row r="485" spans="1:15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22"/>
        <v>California</v>
      </c>
      <c r="N485" t="str">
        <f t="shared" si="24"/>
        <v>F</v>
      </c>
      <c r="O485" t="str">
        <f t="shared" si="23"/>
        <v>College</v>
      </c>
    </row>
    <row r="486" spans="1:15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22"/>
        <v>Arizona</v>
      </c>
      <c r="N486" t="str">
        <f t="shared" si="24"/>
        <v>F</v>
      </c>
      <c r="O486" t="str">
        <f t="shared" si="23"/>
        <v>Master</v>
      </c>
    </row>
    <row r="487" spans="1:15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22"/>
        <v>Arizona</v>
      </c>
      <c r="N487" t="str">
        <f t="shared" si="24"/>
        <v>F</v>
      </c>
      <c r="O487" t="str">
        <f t="shared" si="23"/>
        <v>College</v>
      </c>
    </row>
    <row r="488" spans="1:15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22"/>
        <v>Arizona</v>
      </c>
      <c r="N488" t="str">
        <f t="shared" si="24"/>
        <v>F</v>
      </c>
      <c r="O488" t="str">
        <f t="shared" si="23"/>
        <v>Bachelor</v>
      </c>
    </row>
    <row r="489" spans="1:15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22"/>
        <v>California</v>
      </c>
      <c r="N489" t="str">
        <f t="shared" si="24"/>
        <v>M</v>
      </c>
      <c r="O489" t="str">
        <f t="shared" si="23"/>
        <v>College</v>
      </c>
    </row>
    <row r="490" spans="1:15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22"/>
        <v>Oregon</v>
      </c>
      <c r="N490" t="str">
        <f t="shared" si="24"/>
        <v>M</v>
      </c>
      <c r="O490" t="str">
        <f t="shared" si="23"/>
        <v>High School or Below</v>
      </c>
    </row>
    <row r="491" spans="1:15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22"/>
        <v>Oregon</v>
      </c>
      <c r="N491" t="str">
        <f t="shared" si="24"/>
        <v>F</v>
      </c>
      <c r="O491" t="str">
        <f t="shared" si="23"/>
        <v>Master</v>
      </c>
    </row>
    <row r="492" spans="1:15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22"/>
        <v>California</v>
      </c>
      <c r="N492" t="str">
        <f t="shared" si="24"/>
        <v>F</v>
      </c>
      <c r="O492" t="str">
        <f t="shared" si="23"/>
        <v>High School or Below</v>
      </c>
    </row>
    <row r="493" spans="1:15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22"/>
        <v>Oregon</v>
      </c>
      <c r="N493" t="str">
        <f t="shared" si="24"/>
        <v>F</v>
      </c>
      <c r="O493" t="str">
        <f t="shared" si="23"/>
        <v>College</v>
      </c>
    </row>
    <row r="494" spans="1:15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22"/>
        <v>Nevada</v>
      </c>
      <c r="N494" t="str">
        <f t="shared" si="24"/>
        <v>M</v>
      </c>
      <c r="O494" t="str">
        <f t="shared" si="23"/>
        <v>High School or Below</v>
      </c>
    </row>
    <row r="495" spans="1:15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22"/>
        <v>Arizona</v>
      </c>
      <c r="N495" t="str">
        <f t="shared" si="24"/>
        <v>M</v>
      </c>
      <c r="O495" t="str">
        <f t="shared" si="23"/>
        <v>High School or Below</v>
      </c>
    </row>
    <row r="496" spans="1:15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22"/>
        <v>California</v>
      </c>
      <c r="N496" t="str">
        <f t="shared" si="24"/>
        <v>F</v>
      </c>
      <c r="O496" t="str">
        <f t="shared" si="23"/>
        <v>Master</v>
      </c>
    </row>
    <row r="497" spans="1:15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22"/>
        <v>California</v>
      </c>
      <c r="N497" t="str">
        <f t="shared" si="24"/>
        <v>F</v>
      </c>
      <c r="O497" t="str">
        <f t="shared" si="23"/>
        <v>College</v>
      </c>
    </row>
    <row r="498" spans="1:15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22"/>
        <v>Oregon</v>
      </c>
      <c r="N498" t="str">
        <f t="shared" si="24"/>
        <v>M</v>
      </c>
      <c r="O498" t="str">
        <f t="shared" si="23"/>
        <v>High School or Below</v>
      </c>
    </row>
    <row r="499" spans="1:15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22"/>
        <v>Arizona</v>
      </c>
      <c r="N499" t="str">
        <f t="shared" si="24"/>
        <v>F</v>
      </c>
      <c r="O499" t="str">
        <f t="shared" si="23"/>
        <v>High School or Below</v>
      </c>
    </row>
    <row r="500" spans="1:15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22"/>
        <v>Nevada</v>
      </c>
      <c r="N500" t="str">
        <f t="shared" si="24"/>
        <v>M</v>
      </c>
      <c r="O500" t="str">
        <f t="shared" si="23"/>
        <v>Doctor</v>
      </c>
    </row>
    <row r="501" spans="1:15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22"/>
        <v>Oregon</v>
      </c>
      <c r="N501" t="str">
        <f t="shared" si="24"/>
        <v>M</v>
      </c>
      <c r="O501" t="str">
        <f t="shared" si="23"/>
        <v>High School or Below</v>
      </c>
    </row>
    <row r="502" spans="1:15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22"/>
        <v>Nevada</v>
      </c>
      <c r="N502" t="str">
        <f t="shared" si="24"/>
        <v>F</v>
      </c>
      <c r="O502" t="str">
        <f t="shared" si="23"/>
        <v>Bachelor</v>
      </c>
    </row>
    <row r="503" spans="1:15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22"/>
        <v>California</v>
      </c>
      <c r="N503" t="str">
        <f t="shared" si="24"/>
        <v>M</v>
      </c>
      <c r="O503" t="str">
        <f t="shared" si="23"/>
        <v>High School or Below</v>
      </c>
    </row>
    <row r="504" spans="1:15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22"/>
        <v>Nevada</v>
      </c>
      <c r="N504" t="str">
        <f t="shared" si="24"/>
        <v>M</v>
      </c>
      <c r="O504" t="str">
        <f t="shared" si="23"/>
        <v>College</v>
      </c>
    </row>
    <row r="505" spans="1:15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22"/>
        <v>Arizona</v>
      </c>
      <c r="N505" t="str">
        <f t="shared" si="24"/>
        <v>M</v>
      </c>
      <c r="O505" t="str">
        <f t="shared" si="23"/>
        <v>College</v>
      </c>
    </row>
    <row r="506" spans="1:15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22"/>
        <v>Oregon</v>
      </c>
      <c r="N506" t="str">
        <f t="shared" si="24"/>
        <v>F</v>
      </c>
      <c r="O506" t="str">
        <f t="shared" si="23"/>
        <v>College</v>
      </c>
    </row>
    <row r="507" spans="1:15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22"/>
        <v>California</v>
      </c>
      <c r="N507" t="str">
        <f t="shared" si="24"/>
        <v>M</v>
      </c>
      <c r="O507" t="str">
        <f t="shared" si="23"/>
        <v>High School or Below</v>
      </c>
    </row>
    <row r="508" spans="1:15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22"/>
        <v>Oregon</v>
      </c>
      <c r="N508" t="str">
        <f t="shared" si="24"/>
        <v>F</v>
      </c>
      <c r="O508" t="str">
        <f t="shared" si="23"/>
        <v>College</v>
      </c>
    </row>
    <row r="509" spans="1:15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22"/>
        <v>Oregon</v>
      </c>
      <c r="N509" t="str">
        <f t="shared" si="24"/>
        <v>F</v>
      </c>
      <c r="O509" t="str">
        <f t="shared" si="23"/>
        <v>Doctor</v>
      </c>
    </row>
    <row r="510" spans="1:15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22"/>
        <v>Nevada</v>
      </c>
      <c r="N510" t="str">
        <f t="shared" si="24"/>
        <v>F</v>
      </c>
      <c r="O510" t="str">
        <f t="shared" si="23"/>
        <v>Bachelor</v>
      </c>
    </row>
    <row r="511" spans="1:15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22"/>
        <v>Oregon</v>
      </c>
      <c r="N511" t="str">
        <f t="shared" si="24"/>
        <v>M</v>
      </c>
      <c r="O511" t="str">
        <f t="shared" si="23"/>
        <v>High School or Below</v>
      </c>
    </row>
    <row r="512" spans="1:15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22"/>
        <v>Oregon</v>
      </c>
      <c r="N512" t="str">
        <f t="shared" si="24"/>
        <v>F</v>
      </c>
      <c r="O512" t="str">
        <f t="shared" si="23"/>
        <v>College</v>
      </c>
    </row>
    <row r="513" spans="1:15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22"/>
        <v>Oregon</v>
      </c>
      <c r="N513" t="str">
        <f t="shared" si="24"/>
        <v>M</v>
      </c>
      <c r="O513" t="str">
        <f t="shared" si="23"/>
        <v>Bachelor</v>
      </c>
    </row>
    <row r="514" spans="1:15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22"/>
        <v>Oregon</v>
      </c>
      <c r="N514" t="str">
        <f t="shared" si="24"/>
        <v>M</v>
      </c>
      <c r="O514" t="str">
        <f t="shared" si="23"/>
        <v>College</v>
      </c>
    </row>
    <row r="515" spans="1:15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25">IF(B515="Cali","California",IF(B515="AZ","Arizona",IF(B515="WA","Washington",B515)))</f>
        <v>California</v>
      </c>
      <c r="N515" t="str">
        <f t="shared" si="24"/>
        <v>F</v>
      </c>
      <c r="O515" t="str">
        <f t="shared" ref="O515:O578" si="26">IF(D515="Bachelors","Bachelor",D515)</f>
        <v>High School or Below</v>
      </c>
    </row>
    <row r="516" spans="1:15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25"/>
        <v>California</v>
      </c>
      <c r="N516" t="str">
        <f t="shared" si="24"/>
        <v>F</v>
      </c>
      <c r="O516" t="str">
        <f t="shared" si="26"/>
        <v>High School or Below</v>
      </c>
    </row>
    <row r="517" spans="1:15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25"/>
        <v>California</v>
      </c>
      <c r="N517" t="str">
        <f t="shared" si="24"/>
        <v>F</v>
      </c>
      <c r="O517" t="str">
        <f t="shared" si="26"/>
        <v>High School or Below</v>
      </c>
    </row>
    <row r="518" spans="1:15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25"/>
        <v>Arizona</v>
      </c>
      <c r="N518" t="str">
        <f t="shared" si="24"/>
        <v>F</v>
      </c>
      <c r="O518" t="str">
        <f t="shared" si="26"/>
        <v>Bachelor</v>
      </c>
    </row>
    <row r="519" spans="1:15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25"/>
        <v>Arizona</v>
      </c>
      <c r="N519" t="str">
        <f t="shared" si="24"/>
        <v>M</v>
      </c>
      <c r="O519" t="str">
        <f t="shared" si="26"/>
        <v>Bachelor</v>
      </c>
    </row>
    <row r="520" spans="1:15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25"/>
        <v>Oregon</v>
      </c>
      <c r="N520" t="str">
        <f t="shared" si="24"/>
        <v>F</v>
      </c>
      <c r="O520" t="str">
        <f t="shared" si="26"/>
        <v>High School or Below</v>
      </c>
    </row>
    <row r="521" spans="1:15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25"/>
        <v>Oregon</v>
      </c>
      <c r="N521" t="str">
        <f t="shared" ref="N521:N584" si="27">IF(OR(C521="F",C521="female",C521="Femal"),"F",IF(OR(C521="M",C521="male",C521="Male"),"M",C521))</f>
        <v>F</v>
      </c>
      <c r="O521" t="str">
        <f t="shared" si="26"/>
        <v>College</v>
      </c>
    </row>
    <row r="522" spans="1:15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25"/>
        <v>California</v>
      </c>
      <c r="N522" t="str">
        <f t="shared" si="27"/>
        <v>F</v>
      </c>
      <c r="O522" t="str">
        <f t="shared" si="26"/>
        <v>Bachelor</v>
      </c>
    </row>
    <row r="523" spans="1:15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25"/>
        <v>Oregon</v>
      </c>
      <c r="N523" t="str">
        <f t="shared" si="27"/>
        <v>M</v>
      </c>
      <c r="O523" t="str">
        <f t="shared" si="26"/>
        <v>High School or Below</v>
      </c>
    </row>
    <row r="524" spans="1:15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25"/>
        <v>California</v>
      </c>
      <c r="N524" t="str">
        <f t="shared" si="27"/>
        <v>M</v>
      </c>
      <c r="O524" t="str">
        <f t="shared" si="26"/>
        <v>College</v>
      </c>
    </row>
    <row r="525" spans="1:15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25"/>
        <v>Nevada</v>
      </c>
      <c r="N525" t="str">
        <f t="shared" si="27"/>
        <v>F</v>
      </c>
      <c r="O525" t="str">
        <f t="shared" si="26"/>
        <v>Bachelor</v>
      </c>
    </row>
    <row r="526" spans="1:15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25"/>
        <v>Arizona</v>
      </c>
      <c r="N526" t="str">
        <f t="shared" si="27"/>
        <v>M</v>
      </c>
      <c r="O526" t="str">
        <f t="shared" si="26"/>
        <v>College</v>
      </c>
    </row>
    <row r="527" spans="1:15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25"/>
        <v>Arizona</v>
      </c>
      <c r="N527" t="str">
        <f t="shared" si="27"/>
        <v>F</v>
      </c>
      <c r="O527" t="str">
        <f t="shared" si="26"/>
        <v>High School or Below</v>
      </c>
    </row>
    <row r="528" spans="1:15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25"/>
        <v>Oregon</v>
      </c>
      <c r="N528" t="str">
        <f t="shared" si="27"/>
        <v>M</v>
      </c>
      <c r="O528" t="str">
        <f t="shared" si="26"/>
        <v>Bachelor</v>
      </c>
    </row>
    <row r="529" spans="1:15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25"/>
        <v>Oregon</v>
      </c>
      <c r="N529" t="str">
        <f t="shared" si="27"/>
        <v>M</v>
      </c>
      <c r="O529" t="str">
        <f t="shared" si="26"/>
        <v>College</v>
      </c>
    </row>
    <row r="530" spans="1:15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25"/>
        <v>Oregon</v>
      </c>
      <c r="N530" t="str">
        <f t="shared" si="27"/>
        <v>M</v>
      </c>
      <c r="O530" t="str">
        <f t="shared" si="26"/>
        <v>High School or Below</v>
      </c>
    </row>
    <row r="531" spans="1:15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25"/>
        <v>California</v>
      </c>
      <c r="N531" t="str">
        <f t="shared" si="27"/>
        <v>F</v>
      </c>
      <c r="O531" t="str">
        <f t="shared" si="26"/>
        <v>Master</v>
      </c>
    </row>
    <row r="532" spans="1:15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25"/>
        <v>Arizona</v>
      </c>
      <c r="N532" t="str">
        <f t="shared" si="27"/>
        <v>M</v>
      </c>
      <c r="O532" t="str">
        <f t="shared" si="26"/>
        <v>College</v>
      </c>
    </row>
    <row r="533" spans="1:15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25"/>
        <v>Arizona</v>
      </c>
      <c r="N533" t="str">
        <f t="shared" si="27"/>
        <v>F</v>
      </c>
      <c r="O533" t="str">
        <f t="shared" si="26"/>
        <v>Bachelor</v>
      </c>
    </row>
    <row r="534" spans="1:15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25"/>
        <v>Oregon</v>
      </c>
      <c r="N534" t="str">
        <f t="shared" si="27"/>
        <v>M</v>
      </c>
      <c r="O534" t="str">
        <f t="shared" si="26"/>
        <v>Master</v>
      </c>
    </row>
    <row r="535" spans="1:15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25"/>
        <v>Arizona</v>
      </c>
      <c r="N535" t="str">
        <f t="shared" si="27"/>
        <v>F</v>
      </c>
      <c r="O535" t="str">
        <f t="shared" si="26"/>
        <v>Bachelor</v>
      </c>
    </row>
    <row r="536" spans="1:15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25"/>
        <v>Nevada</v>
      </c>
      <c r="N536" t="str">
        <f t="shared" si="27"/>
        <v>F</v>
      </c>
      <c r="O536" t="str">
        <f t="shared" si="26"/>
        <v>Bachelor</v>
      </c>
    </row>
    <row r="537" spans="1:15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25"/>
        <v>Arizona</v>
      </c>
      <c r="N537" t="str">
        <f t="shared" si="27"/>
        <v>F</v>
      </c>
      <c r="O537" t="str">
        <f t="shared" si="26"/>
        <v>High School or Below</v>
      </c>
    </row>
    <row r="538" spans="1:15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25"/>
        <v>Oregon</v>
      </c>
      <c r="N538" t="str">
        <f t="shared" si="27"/>
        <v>F</v>
      </c>
      <c r="O538" t="str">
        <f t="shared" si="26"/>
        <v>High School or Below</v>
      </c>
    </row>
    <row r="539" spans="1:15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25"/>
        <v>Oregon</v>
      </c>
      <c r="N539" t="str">
        <f t="shared" si="27"/>
        <v>F</v>
      </c>
      <c r="O539" t="str">
        <f t="shared" si="26"/>
        <v>High School or Below</v>
      </c>
    </row>
    <row r="540" spans="1:15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25"/>
        <v>California</v>
      </c>
      <c r="N540" t="str">
        <f t="shared" si="27"/>
        <v>M</v>
      </c>
      <c r="O540" t="str">
        <f t="shared" si="26"/>
        <v>College</v>
      </c>
    </row>
    <row r="541" spans="1:15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25"/>
        <v>Oregon</v>
      </c>
      <c r="N541" t="str">
        <f t="shared" si="27"/>
        <v>M</v>
      </c>
      <c r="O541" t="str">
        <f t="shared" si="26"/>
        <v>Doctor</v>
      </c>
    </row>
    <row r="542" spans="1:15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25"/>
        <v>Oregon</v>
      </c>
      <c r="N542" t="str">
        <f t="shared" si="27"/>
        <v>F</v>
      </c>
      <c r="O542" t="str">
        <f t="shared" si="26"/>
        <v>Master</v>
      </c>
    </row>
    <row r="543" spans="1:15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25"/>
        <v>Oregon</v>
      </c>
      <c r="N543" t="str">
        <f t="shared" si="27"/>
        <v>M</v>
      </c>
      <c r="O543" t="str">
        <f t="shared" si="26"/>
        <v>High School or Below</v>
      </c>
    </row>
    <row r="544" spans="1:15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25"/>
        <v>Washington</v>
      </c>
      <c r="N544" t="str">
        <f t="shared" si="27"/>
        <v>F</v>
      </c>
      <c r="O544" t="str">
        <f t="shared" si="26"/>
        <v>Bachelor</v>
      </c>
    </row>
    <row r="545" spans="1:15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25"/>
        <v>Arizona</v>
      </c>
      <c r="N545" t="str">
        <f t="shared" si="27"/>
        <v>M</v>
      </c>
      <c r="O545" t="str">
        <f t="shared" si="26"/>
        <v>College</v>
      </c>
    </row>
    <row r="546" spans="1:15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25"/>
        <v>California</v>
      </c>
      <c r="N546" t="str">
        <f t="shared" si="27"/>
        <v>M</v>
      </c>
      <c r="O546" t="str">
        <f t="shared" si="26"/>
        <v>High School or Below</v>
      </c>
    </row>
    <row r="547" spans="1:15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25"/>
        <v>Oregon</v>
      </c>
      <c r="N547" t="str">
        <f t="shared" si="27"/>
        <v>F</v>
      </c>
      <c r="O547" t="str">
        <f t="shared" si="26"/>
        <v>High School or Below</v>
      </c>
    </row>
    <row r="548" spans="1:15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25"/>
        <v>Washington</v>
      </c>
      <c r="N548" t="str">
        <f t="shared" si="27"/>
        <v>M</v>
      </c>
      <c r="O548" t="str">
        <f t="shared" si="26"/>
        <v>High School or Below</v>
      </c>
    </row>
    <row r="549" spans="1:15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25"/>
        <v>Arizona</v>
      </c>
      <c r="N549" t="str">
        <f t="shared" si="27"/>
        <v>M</v>
      </c>
      <c r="O549" t="str">
        <f t="shared" si="26"/>
        <v>College</v>
      </c>
    </row>
    <row r="550" spans="1:15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25"/>
        <v>Arizona</v>
      </c>
      <c r="N550" t="str">
        <f t="shared" si="27"/>
        <v>M</v>
      </c>
      <c r="O550" t="str">
        <f t="shared" si="26"/>
        <v>Bachelor</v>
      </c>
    </row>
    <row r="551" spans="1:15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25"/>
        <v>California</v>
      </c>
      <c r="N551" t="str">
        <f t="shared" si="27"/>
        <v>F</v>
      </c>
      <c r="O551" t="str">
        <f t="shared" si="26"/>
        <v>Bachelor</v>
      </c>
    </row>
    <row r="552" spans="1:15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25"/>
        <v>Oregon</v>
      </c>
      <c r="N552" t="str">
        <f t="shared" si="27"/>
        <v>F</v>
      </c>
      <c r="O552" t="str">
        <f t="shared" si="26"/>
        <v>College</v>
      </c>
    </row>
    <row r="553" spans="1:15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25"/>
        <v>Oregon</v>
      </c>
      <c r="N553" t="str">
        <f t="shared" si="27"/>
        <v>F</v>
      </c>
      <c r="O553" t="str">
        <f t="shared" si="26"/>
        <v>College</v>
      </c>
    </row>
    <row r="554" spans="1:15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25"/>
        <v>Oregon</v>
      </c>
      <c r="N554" t="str">
        <f t="shared" si="27"/>
        <v>F</v>
      </c>
      <c r="O554" t="str">
        <f t="shared" si="26"/>
        <v>Master</v>
      </c>
    </row>
    <row r="555" spans="1:15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25"/>
        <v>Oregon</v>
      </c>
      <c r="N555" t="str">
        <f t="shared" si="27"/>
        <v>F</v>
      </c>
      <c r="O555" t="str">
        <f t="shared" si="26"/>
        <v>College</v>
      </c>
    </row>
    <row r="556" spans="1:15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25"/>
        <v>California</v>
      </c>
      <c r="N556" t="str">
        <f t="shared" si="27"/>
        <v>M</v>
      </c>
      <c r="O556" t="str">
        <f t="shared" si="26"/>
        <v>High School or Below</v>
      </c>
    </row>
    <row r="557" spans="1:15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25"/>
        <v>Arizona</v>
      </c>
      <c r="N557" t="str">
        <f t="shared" si="27"/>
        <v>M</v>
      </c>
      <c r="O557" t="str">
        <f t="shared" si="26"/>
        <v>High School or Below</v>
      </c>
    </row>
    <row r="558" spans="1:15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25"/>
        <v>California</v>
      </c>
      <c r="N558" t="str">
        <f t="shared" si="27"/>
        <v>M</v>
      </c>
      <c r="O558" t="str">
        <f t="shared" si="26"/>
        <v>High School or Below</v>
      </c>
    </row>
    <row r="559" spans="1:15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25"/>
        <v>California</v>
      </c>
      <c r="N559" t="str">
        <f t="shared" si="27"/>
        <v>M</v>
      </c>
      <c r="O559" t="str">
        <f t="shared" si="26"/>
        <v>High School or Below</v>
      </c>
    </row>
    <row r="560" spans="1:15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25"/>
        <v>California</v>
      </c>
      <c r="N560" t="str">
        <f t="shared" si="27"/>
        <v>F</v>
      </c>
      <c r="O560" t="str">
        <f t="shared" si="26"/>
        <v>Master</v>
      </c>
    </row>
    <row r="561" spans="1:15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25"/>
        <v>Arizona</v>
      </c>
      <c r="N561" t="str">
        <f t="shared" si="27"/>
        <v>F</v>
      </c>
      <c r="O561" t="str">
        <f t="shared" si="26"/>
        <v>College</v>
      </c>
    </row>
    <row r="562" spans="1:15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25"/>
        <v>California</v>
      </c>
      <c r="N562" t="str">
        <f t="shared" si="27"/>
        <v>M</v>
      </c>
      <c r="O562" t="str">
        <f t="shared" si="26"/>
        <v>Bachelor</v>
      </c>
    </row>
    <row r="563" spans="1:15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25"/>
        <v>Washington</v>
      </c>
      <c r="N563" t="str">
        <f t="shared" si="27"/>
        <v>F</v>
      </c>
      <c r="O563" t="str">
        <f t="shared" si="26"/>
        <v>College</v>
      </c>
    </row>
    <row r="564" spans="1:15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25"/>
        <v>Oregon</v>
      </c>
      <c r="N564" t="str">
        <f t="shared" si="27"/>
        <v>F</v>
      </c>
      <c r="O564" t="str">
        <f t="shared" si="26"/>
        <v>Bachelor</v>
      </c>
    </row>
    <row r="565" spans="1:15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25"/>
        <v>Nevada</v>
      </c>
      <c r="N565" t="str">
        <f t="shared" si="27"/>
        <v>M</v>
      </c>
      <c r="O565" t="str">
        <f t="shared" si="26"/>
        <v>College</v>
      </c>
    </row>
    <row r="566" spans="1:15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25"/>
        <v>California</v>
      </c>
      <c r="N566" t="str">
        <f t="shared" si="27"/>
        <v>M</v>
      </c>
      <c r="O566" t="str">
        <f t="shared" si="26"/>
        <v>Master</v>
      </c>
    </row>
    <row r="567" spans="1:15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25"/>
        <v>California</v>
      </c>
      <c r="N567" t="str">
        <f t="shared" si="27"/>
        <v>F</v>
      </c>
      <c r="O567" t="str">
        <f t="shared" si="26"/>
        <v>College</v>
      </c>
    </row>
    <row r="568" spans="1:15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25"/>
        <v>California</v>
      </c>
      <c r="N568" t="str">
        <f t="shared" si="27"/>
        <v>M</v>
      </c>
      <c r="O568" t="str">
        <f t="shared" si="26"/>
        <v>College</v>
      </c>
    </row>
    <row r="569" spans="1:15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25"/>
        <v>California</v>
      </c>
      <c r="N569" t="str">
        <f t="shared" si="27"/>
        <v>F</v>
      </c>
      <c r="O569" t="str">
        <f t="shared" si="26"/>
        <v>High School or Below</v>
      </c>
    </row>
    <row r="570" spans="1:15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25"/>
        <v>Oregon</v>
      </c>
      <c r="N570" t="str">
        <f t="shared" si="27"/>
        <v>F</v>
      </c>
      <c r="O570" t="str">
        <f t="shared" si="26"/>
        <v>Bachelor</v>
      </c>
    </row>
    <row r="571" spans="1:15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25"/>
        <v>Oregon</v>
      </c>
      <c r="N571" t="str">
        <f t="shared" si="27"/>
        <v>M</v>
      </c>
      <c r="O571" t="str">
        <f t="shared" si="26"/>
        <v>Bachelor</v>
      </c>
    </row>
    <row r="572" spans="1:15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25"/>
        <v>California</v>
      </c>
      <c r="N572" t="str">
        <f t="shared" si="27"/>
        <v>M</v>
      </c>
      <c r="O572" t="str">
        <f t="shared" si="26"/>
        <v>College</v>
      </c>
    </row>
    <row r="573" spans="1:15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25"/>
        <v>Oregon</v>
      </c>
      <c r="N573" t="str">
        <f t="shared" si="27"/>
        <v>F</v>
      </c>
      <c r="O573" t="str">
        <f t="shared" si="26"/>
        <v>College</v>
      </c>
    </row>
    <row r="574" spans="1:15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25"/>
        <v>Oregon</v>
      </c>
      <c r="N574" t="str">
        <f t="shared" si="27"/>
        <v>F</v>
      </c>
      <c r="O574" t="str">
        <f t="shared" si="26"/>
        <v>Bachelor</v>
      </c>
    </row>
    <row r="575" spans="1:15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25"/>
        <v>California</v>
      </c>
      <c r="N575" t="str">
        <f t="shared" si="27"/>
        <v>M</v>
      </c>
      <c r="O575" t="str">
        <f t="shared" si="26"/>
        <v>Bachelor</v>
      </c>
    </row>
    <row r="576" spans="1:15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25"/>
        <v>Arizona</v>
      </c>
      <c r="N576" t="str">
        <f t="shared" si="27"/>
        <v>F</v>
      </c>
      <c r="O576" t="str">
        <f t="shared" si="26"/>
        <v>Bachelor</v>
      </c>
    </row>
    <row r="577" spans="1:15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25"/>
        <v>Oregon</v>
      </c>
      <c r="N577" t="str">
        <f t="shared" si="27"/>
        <v>F</v>
      </c>
      <c r="O577" t="str">
        <f t="shared" si="26"/>
        <v>High School or Below</v>
      </c>
    </row>
    <row r="578" spans="1:15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25"/>
        <v>Oregon</v>
      </c>
      <c r="N578" t="str">
        <f t="shared" si="27"/>
        <v>F</v>
      </c>
      <c r="O578" t="str">
        <f t="shared" si="26"/>
        <v>High School or Below</v>
      </c>
    </row>
    <row r="579" spans="1:15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28">IF(B579="Cali","California",IF(B579="AZ","Arizona",IF(B579="WA","Washington",B579)))</f>
        <v>Oregon</v>
      </c>
      <c r="N579" t="str">
        <f t="shared" si="27"/>
        <v>M</v>
      </c>
      <c r="O579" t="str">
        <f t="shared" ref="O579:O642" si="29">IF(D579="Bachelors","Bachelor",D579)</f>
        <v>Bachelor</v>
      </c>
    </row>
    <row r="580" spans="1:15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28"/>
        <v>Oregon</v>
      </c>
      <c r="N580" t="str">
        <f t="shared" si="27"/>
        <v>F</v>
      </c>
      <c r="O580" t="str">
        <f t="shared" si="29"/>
        <v>Bachelor</v>
      </c>
    </row>
    <row r="581" spans="1:15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28"/>
        <v>Washington</v>
      </c>
      <c r="N581" t="str">
        <f t="shared" si="27"/>
        <v>M</v>
      </c>
      <c r="O581" t="str">
        <f t="shared" si="29"/>
        <v>High School or Below</v>
      </c>
    </row>
    <row r="582" spans="1:15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28"/>
        <v>Oregon</v>
      </c>
      <c r="N582" t="str">
        <f t="shared" si="27"/>
        <v>F</v>
      </c>
      <c r="O582" t="str">
        <f t="shared" si="29"/>
        <v>Master</v>
      </c>
    </row>
    <row r="583" spans="1:15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28"/>
        <v>Arizona</v>
      </c>
      <c r="N583" t="str">
        <f t="shared" si="27"/>
        <v>F</v>
      </c>
      <c r="O583" t="str">
        <f t="shared" si="29"/>
        <v>High School or Below</v>
      </c>
    </row>
    <row r="584" spans="1:15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28"/>
        <v>Washington</v>
      </c>
      <c r="N584" t="str">
        <f t="shared" si="27"/>
        <v>M</v>
      </c>
      <c r="O584" t="str">
        <f t="shared" si="29"/>
        <v>Master</v>
      </c>
    </row>
    <row r="585" spans="1:15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28"/>
        <v>California</v>
      </c>
      <c r="N585" t="str">
        <f t="shared" ref="N585:N648" si="30">IF(OR(C585="F",C585="female",C585="Femal"),"F",IF(OR(C585="M",C585="male",C585="Male"),"M",C585))</f>
        <v>F</v>
      </c>
      <c r="O585" t="str">
        <f t="shared" si="29"/>
        <v>High School or Below</v>
      </c>
    </row>
    <row r="586" spans="1:15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28"/>
        <v>Nevada</v>
      </c>
      <c r="N586" t="str">
        <f t="shared" si="30"/>
        <v>M</v>
      </c>
      <c r="O586" t="str">
        <f t="shared" si="29"/>
        <v>High School or Below</v>
      </c>
    </row>
    <row r="587" spans="1:15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28"/>
        <v>California</v>
      </c>
      <c r="N587" t="str">
        <f t="shared" si="30"/>
        <v>M</v>
      </c>
      <c r="O587" t="str">
        <f t="shared" si="29"/>
        <v>Bachelor</v>
      </c>
    </row>
    <row r="588" spans="1:15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28"/>
        <v>Oregon</v>
      </c>
      <c r="N588" t="str">
        <f t="shared" si="30"/>
        <v>M</v>
      </c>
      <c r="O588" t="str">
        <f t="shared" si="29"/>
        <v>Bachelor</v>
      </c>
    </row>
    <row r="589" spans="1:15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28"/>
        <v>California</v>
      </c>
      <c r="N589" t="str">
        <f t="shared" si="30"/>
        <v>M</v>
      </c>
      <c r="O589" t="str">
        <f t="shared" si="29"/>
        <v>Bachelor</v>
      </c>
    </row>
    <row r="590" spans="1:15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28"/>
        <v>California</v>
      </c>
      <c r="N590" t="str">
        <f t="shared" si="30"/>
        <v>M</v>
      </c>
      <c r="O590" t="str">
        <f t="shared" si="29"/>
        <v>Bachelor</v>
      </c>
    </row>
    <row r="591" spans="1:15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28"/>
        <v>Nevada</v>
      </c>
      <c r="N591" t="str">
        <f t="shared" si="30"/>
        <v>M</v>
      </c>
      <c r="O591" t="str">
        <f t="shared" si="29"/>
        <v>High School or Below</v>
      </c>
    </row>
    <row r="592" spans="1:15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28"/>
        <v>Arizona</v>
      </c>
      <c r="N592" t="str">
        <f t="shared" si="30"/>
        <v>F</v>
      </c>
      <c r="O592" t="str">
        <f t="shared" si="29"/>
        <v>Doctor</v>
      </c>
    </row>
    <row r="593" spans="1:15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28"/>
        <v>California</v>
      </c>
      <c r="N593" t="str">
        <f t="shared" si="30"/>
        <v>F</v>
      </c>
      <c r="O593" t="str">
        <f t="shared" si="29"/>
        <v>High School or Below</v>
      </c>
    </row>
    <row r="594" spans="1:15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28"/>
        <v>California</v>
      </c>
      <c r="N594" t="str">
        <f t="shared" si="30"/>
        <v>F</v>
      </c>
      <c r="O594" t="str">
        <f t="shared" si="29"/>
        <v>Master</v>
      </c>
    </row>
    <row r="595" spans="1:15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28"/>
        <v>Oregon</v>
      </c>
      <c r="N595" t="str">
        <f t="shared" si="30"/>
        <v>F</v>
      </c>
      <c r="O595" t="str">
        <f t="shared" si="29"/>
        <v>High School or Below</v>
      </c>
    </row>
    <row r="596" spans="1:15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28"/>
        <v>Washington</v>
      </c>
      <c r="N596" t="str">
        <f t="shared" si="30"/>
        <v>M</v>
      </c>
      <c r="O596" t="str">
        <f t="shared" si="29"/>
        <v>Doctor</v>
      </c>
    </row>
    <row r="597" spans="1:15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28"/>
        <v>Nevada</v>
      </c>
      <c r="N597" t="str">
        <f t="shared" si="30"/>
        <v>M</v>
      </c>
      <c r="O597" t="str">
        <f t="shared" si="29"/>
        <v>Doctor</v>
      </c>
    </row>
    <row r="598" spans="1:15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28"/>
        <v>Oregon</v>
      </c>
      <c r="N598" t="str">
        <f t="shared" si="30"/>
        <v>F</v>
      </c>
      <c r="O598" t="str">
        <f t="shared" si="29"/>
        <v>College</v>
      </c>
    </row>
    <row r="599" spans="1:15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28"/>
        <v>Arizona</v>
      </c>
      <c r="N599" t="str">
        <f t="shared" si="30"/>
        <v>F</v>
      </c>
      <c r="O599" t="str">
        <f t="shared" si="29"/>
        <v>College</v>
      </c>
    </row>
    <row r="600" spans="1:15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28"/>
        <v>Oregon</v>
      </c>
      <c r="N600" t="str">
        <f t="shared" si="30"/>
        <v>M</v>
      </c>
      <c r="O600" t="str">
        <f t="shared" si="29"/>
        <v>College</v>
      </c>
    </row>
    <row r="601" spans="1:15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28"/>
        <v>Arizona</v>
      </c>
      <c r="N601" t="str">
        <f t="shared" si="30"/>
        <v>F</v>
      </c>
      <c r="O601" t="str">
        <f t="shared" si="29"/>
        <v>Master</v>
      </c>
    </row>
    <row r="602" spans="1:15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28"/>
        <v>Oregon</v>
      </c>
      <c r="N602" t="str">
        <f t="shared" si="30"/>
        <v>M</v>
      </c>
      <c r="O602" t="str">
        <f t="shared" si="29"/>
        <v>Bachelor</v>
      </c>
    </row>
    <row r="603" spans="1:15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28"/>
        <v>Oregon</v>
      </c>
      <c r="N603" t="str">
        <f t="shared" si="30"/>
        <v>F</v>
      </c>
      <c r="O603" t="str">
        <f t="shared" si="29"/>
        <v>College</v>
      </c>
    </row>
    <row r="604" spans="1:15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28"/>
        <v>California</v>
      </c>
      <c r="N604" t="str">
        <f t="shared" si="30"/>
        <v>M</v>
      </c>
      <c r="O604" t="str">
        <f t="shared" si="29"/>
        <v>Bachelor</v>
      </c>
    </row>
    <row r="605" spans="1:15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28"/>
        <v>Oregon</v>
      </c>
      <c r="N605" t="str">
        <f t="shared" si="30"/>
        <v>F</v>
      </c>
      <c r="O605" t="str">
        <f t="shared" si="29"/>
        <v>High School or Below</v>
      </c>
    </row>
    <row r="606" spans="1:15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28"/>
        <v>Oregon</v>
      </c>
      <c r="N606" t="str">
        <f t="shared" si="30"/>
        <v>F</v>
      </c>
      <c r="O606" t="str">
        <f t="shared" si="29"/>
        <v>Doctor</v>
      </c>
    </row>
    <row r="607" spans="1:15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28"/>
        <v>California</v>
      </c>
      <c r="N607" t="str">
        <f t="shared" si="30"/>
        <v>M</v>
      </c>
      <c r="O607" t="str">
        <f t="shared" si="29"/>
        <v>College</v>
      </c>
    </row>
    <row r="608" spans="1:15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28"/>
        <v>Nevada</v>
      </c>
      <c r="N608" t="str">
        <f t="shared" si="30"/>
        <v>M</v>
      </c>
      <c r="O608" t="str">
        <f t="shared" si="29"/>
        <v>High School or Below</v>
      </c>
    </row>
    <row r="609" spans="1:15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28"/>
        <v>California</v>
      </c>
      <c r="N609" t="str">
        <f t="shared" si="30"/>
        <v>M</v>
      </c>
      <c r="O609" t="str">
        <f t="shared" si="29"/>
        <v>College</v>
      </c>
    </row>
    <row r="610" spans="1:15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28"/>
        <v>Washington</v>
      </c>
      <c r="N610" t="str">
        <f t="shared" si="30"/>
        <v>M</v>
      </c>
      <c r="O610" t="str">
        <f t="shared" si="29"/>
        <v>Bachelor</v>
      </c>
    </row>
    <row r="611" spans="1:15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28"/>
        <v>California</v>
      </c>
      <c r="N611" t="str">
        <f t="shared" si="30"/>
        <v>F</v>
      </c>
      <c r="O611" t="str">
        <f t="shared" si="29"/>
        <v>Bachelor</v>
      </c>
    </row>
    <row r="612" spans="1:15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28"/>
        <v>Oregon</v>
      </c>
      <c r="N612" t="str">
        <f t="shared" si="30"/>
        <v>M</v>
      </c>
      <c r="O612" t="str">
        <f t="shared" si="29"/>
        <v>Master</v>
      </c>
    </row>
    <row r="613" spans="1:15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28"/>
        <v>Oregon</v>
      </c>
      <c r="N613" t="str">
        <f t="shared" si="30"/>
        <v>F</v>
      </c>
      <c r="O613" t="str">
        <f t="shared" si="29"/>
        <v>Master</v>
      </c>
    </row>
    <row r="614" spans="1:15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28"/>
        <v>Arizona</v>
      </c>
      <c r="N614" t="str">
        <f t="shared" si="30"/>
        <v>M</v>
      </c>
      <c r="O614" t="str">
        <f t="shared" si="29"/>
        <v>Bachelor</v>
      </c>
    </row>
    <row r="615" spans="1:15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28"/>
        <v>Arizona</v>
      </c>
      <c r="N615" t="str">
        <f t="shared" si="30"/>
        <v>F</v>
      </c>
      <c r="O615" t="str">
        <f t="shared" si="29"/>
        <v>High School or Below</v>
      </c>
    </row>
    <row r="616" spans="1:15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28"/>
        <v>California</v>
      </c>
      <c r="N616" t="str">
        <f t="shared" si="30"/>
        <v>M</v>
      </c>
      <c r="O616" t="str">
        <f t="shared" si="29"/>
        <v>High School or Below</v>
      </c>
    </row>
    <row r="617" spans="1:15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28"/>
        <v>Nevada</v>
      </c>
      <c r="N617" t="str">
        <f t="shared" si="30"/>
        <v>M</v>
      </c>
      <c r="O617" t="str">
        <f t="shared" si="29"/>
        <v>Master</v>
      </c>
    </row>
    <row r="618" spans="1:15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28"/>
        <v>Oregon</v>
      </c>
      <c r="N618" t="str">
        <f t="shared" si="30"/>
        <v>M</v>
      </c>
      <c r="O618" t="str">
        <f t="shared" si="29"/>
        <v>College</v>
      </c>
    </row>
    <row r="619" spans="1:15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28"/>
        <v>Nevada</v>
      </c>
      <c r="N619" t="str">
        <f t="shared" si="30"/>
        <v>F</v>
      </c>
      <c r="O619" t="str">
        <f t="shared" si="29"/>
        <v>Master</v>
      </c>
    </row>
    <row r="620" spans="1:15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28"/>
        <v>California</v>
      </c>
      <c r="N620" t="str">
        <f t="shared" si="30"/>
        <v>F</v>
      </c>
      <c r="O620" t="str">
        <f t="shared" si="29"/>
        <v>College</v>
      </c>
    </row>
    <row r="621" spans="1:15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28"/>
        <v>Nevada</v>
      </c>
      <c r="N621" t="str">
        <f t="shared" si="30"/>
        <v>F</v>
      </c>
      <c r="O621" t="str">
        <f t="shared" si="29"/>
        <v>High School or Below</v>
      </c>
    </row>
    <row r="622" spans="1:15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28"/>
        <v>Oregon</v>
      </c>
      <c r="N622" t="str">
        <f t="shared" si="30"/>
        <v>F</v>
      </c>
      <c r="O622" t="str">
        <f t="shared" si="29"/>
        <v>College</v>
      </c>
    </row>
    <row r="623" spans="1:15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28"/>
        <v>Washington</v>
      </c>
      <c r="N623" t="str">
        <f t="shared" si="30"/>
        <v>M</v>
      </c>
      <c r="O623" t="str">
        <f t="shared" si="29"/>
        <v>Bachelor</v>
      </c>
    </row>
    <row r="624" spans="1:15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28"/>
        <v>California</v>
      </c>
      <c r="N624" t="str">
        <f t="shared" si="30"/>
        <v>F</v>
      </c>
      <c r="O624" t="str">
        <f t="shared" si="29"/>
        <v>College</v>
      </c>
    </row>
    <row r="625" spans="1:15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28"/>
        <v>Oregon</v>
      </c>
      <c r="N625" t="str">
        <f t="shared" si="30"/>
        <v>F</v>
      </c>
      <c r="O625" t="str">
        <f t="shared" si="29"/>
        <v>Bachelor</v>
      </c>
    </row>
    <row r="626" spans="1:15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28"/>
        <v>Arizona</v>
      </c>
      <c r="N626" t="str">
        <f t="shared" si="30"/>
        <v>F</v>
      </c>
      <c r="O626" t="str">
        <f t="shared" si="29"/>
        <v>High School or Below</v>
      </c>
    </row>
    <row r="627" spans="1:15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28"/>
        <v>California</v>
      </c>
      <c r="N627" t="str">
        <f t="shared" si="30"/>
        <v>F</v>
      </c>
      <c r="O627" t="str">
        <f t="shared" si="29"/>
        <v>Bachelor</v>
      </c>
    </row>
    <row r="628" spans="1:15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28"/>
        <v>California</v>
      </c>
      <c r="N628" t="str">
        <f t="shared" si="30"/>
        <v>F</v>
      </c>
      <c r="O628" t="str">
        <f t="shared" si="29"/>
        <v>College</v>
      </c>
    </row>
    <row r="629" spans="1:15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28"/>
        <v>Nevada</v>
      </c>
      <c r="N629" t="str">
        <f t="shared" si="30"/>
        <v>M</v>
      </c>
      <c r="O629" t="str">
        <f t="shared" si="29"/>
        <v>High School or Below</v>
      </c>
    </row>
    <row r="630" spans="1:15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28"/>
        <v>Arizona</v>
      </c>
      <c r="N630" t="str">
        <f t="shared" si="30"/>
        <v>M</v>
      </c>
      <c r="O630" t="str">
        <f t="shared" si="29"/>
        <v>High School or Below</v>
      </c>
    </row>
    <row r="631" spans="1:15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28"/>
        <v>Oregon</v>
      </c>
      <c r="N631" t="str">
        <f t="shared" si="30"/>
        <v>F</v>
      </c>
      <c r="O631" t="str">
        <f t="shared" si="29"/>
        <v>College</v>
      </c>
    </row>
    <row r="632" spans="1:15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28"/>
        <v>California</v>
      </c>
      <c r="N632" t="str">
        <f t="shared" si="30"/>
        <v>M</v>
      </c>
      <c r="O632" t="str">
        <f t="shared" si="29"/>
        <v>Bachelor</v>
      </c>
    </row>
    <row r="633" spans="1:15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28"/>
        <v>California</v>
      </c>
      <c r="N633" t="str">
        <f t="shared" si="30"/>
        <v>M</v>
      </c>
      <c r="O633" t="str">
        <f t="shared" si="29"/>
        <v>College</v>
      </c>
    </row>
    <row r="634" spans="1:15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28"/>
        <v>Oregon</v>
      </c>
      <c r="N634" t="str">
        <f t="shared" si="30"/>
        <v>M</v>
      </c>
      <c r="O634" t="str">
        <f t="shared" si="29"/>
        <v>High School or Below</v>
      </c>
    </row>
    <row r="635" spans="1:15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28"/>
        <v>California</v>
      </c>
      <c r="N635" t="str">
        <f t="shared" si="30"/>
        <v>F</v>
      </c>
      <c r="O635" t="str">
        <f t="shared" si="29"/>
        <v>Bachelor</v>
      </c>
    </row>
    <row r="636" spans="1:15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28"/>
        <v>California</v>
      </c>
      <c r="N636" t="str">
        <f t="shared" si="30"/>
        <v>F</v>
      </c>
      <c r="O636" t="str">
        <f t="shared" si="29"/>
        <v>College</v>
      </c>
    </row>
    <row r="637" spans="1:15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28"/>
        <v>Oregon</v>
      </c>
      <c r="N637" t="str">
        <f t="shared" si="30"/>
        <v>M</v>
      </c>
      <c r="O637" t="str">
        <f t="shared" si="29"/>
        <v>College</v>
      </c>
    </row>
    <row r="638" spans="1:15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28"/>
        <v>Washington</v>
      </c>
      <c r="N638" t="str">
        <f t="shared" si="30"/>
        <v>M</v>
      </c>
      <c r="O638" t="str">
        <f t="shared" si="29"/>
        <v>Master</v>
      </c>
    </row>
    <row r="639" spans="1:15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28"/>
        <v>Oregon</v>
      </c>
      <c r="N639" t="str">
        <f t="shared" si="30"/>
        <v>F</v>
      </c>
      <c r="O639" t="str">
        <f t="shared" si="29"/>
        <v>High School or Below</v>
      </c>
    </row>
    <row r="640" spans="1:15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28"/>
        <v>California</v>
      </c>
      <c r="N640" t="str">
        <f t="shared" si="30"/>
        <v>M</v>
      </c>
      <c r="O640" t="str">
        <f t="shared" si="29"/>
        <v>College</v>
      </c>
    </row>
    <row r="641" spans="1:15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28"/>
        <v>California</v>
      </c>
      <c r="N641" t="str">
        <f t="shared" si="30"/>
        <v>F</v>
      </c>
      <c r="O641" t="str">
        <f t="shared" si="29"/>
        <v>College</v>
      </c>
    </row>
    <row r="642" spans="1:15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28"/>
        <v>Washington</v>
      </c>
      <c r="N642" t="str">
        <f t="shared" si="30"/>
        <v>F</v>
      </c>
      <c r="O642" t="str">
        <f t="shared" si="29"/>
        <v>College</v>
      </c>
    </row>
    <row r="643" spans="1:15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31">IF(B643="Cali","California",IF(B643="AZ","Arizona",IF(B643="WA","Washington",B643)))</f>
        <v>Arizona</v>
      </c>
      <c r="N643" t="str">
        <f t="shared" si="30"/>
        <v>M</v>
      </c>
      <c r="O643" t="str">
        <f t="shared" ref="O643:O706" si="32">IF(D643="Bachelors","Bachelor",D643)</f>
        <v>Master</v>
      </c>
    </row>
    <row r="644" spans="1:15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31"/>
        <v>Arizona</v>
      </c>
      <c r="N644" t="str">
        <f t="shared" si="30"/>
        <v>M</v>
      </c>
      <c r="O644" t="str">
        <f t="shared" si="32"/>
        <v>High School or Below</v>
      </c>
    </row>
    <row r="645" spans="1:15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31"/>
        <v>California</v>
      </c>
      <c r="N645" t="str">
        <f t="shared" si="30"/>
        <v>F</v>
      </c>
      <c r="O645" t="str">
        <f t="shared" si="32"/>
        <v>Doctor</v>
      </c>
    </row>
    <row r="646" spans="1:15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31"/>
        <v>Washington</v>
      </c>
      <c r="N646" t="str">
        <f t="shared" si="30"/>
        <v>M</v>
      </c>
      <c r="O646" t="str">
        <f t="shared" si="32"/>
        <v>Bachelor</v>
      </c>
    </row>
    <row r="647" spans="1:15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31"/>
        <v>Nevada</v>
      </c>
      <c r="N647" t="str">
        <f t="shared" si="30"/>
        <v>M</v>
      </c>
      <c r="O647" t="str">
        <f t="shared" si="32"/>
        <v>Bachelor</v>
      </c>
    </row>
    <row r="648" spans="1:15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31"/>
        <v>Oregon</v>
      </c>
      <c r="N648" t="str">
        <f t="shared" si="30"/>
        <v>M</v>
      </c>
      <c r="O648" t="str">
        <f t="shared" si="32"/>
        <v>Bachelor</v>
      </c>
    </row>
    <row r="649" spans="1:15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31"/>
        <v>Oregon</v>
      </c>
      <c r="N649" t="str">
        <f t="shared" ref="N649:N712" si="33">IF(OR(C649="F",C649="female",C649="Femal"),"F",IF(OR(C649="M",C649="male",C649="Male"),"M",C649))</f>
        <v>F</v>
      </c>
      <c r="O649" t="str">
        <f t="shared" si="32"/>
        <v>College</v>
      </c>
    </row>
    <row r="650" spans="1:15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31"/>
        <v>Oregon</v>
      </c>
      <c r="N650" t="str">
        <f t="shared" si="33"/>
        <v>M</v>
      </c>
      <c r="O650" t="str">
        <f t="shared" si="32"/>
        <v>Bachelor</v>
      </c>
    </row>
    <row r="651" spans="1:15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31"/>
        <v>Oregon</v>
      </c>
      <c r="N651" t="str">
        <f t="shared" si="33"/>
        <v>M</v>
      </c>
      <c r="O651" t="str">
        <f t="shared" si="32"/>
        <v>College</v>
      </c>
    </row>
    <row r="652" spans="1:15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31"/>
        <v>Oregon</v>
      </c>
      <c r="N652" t="str">
        <f t="shared" si="33"/>
        <v>M</v>
      </c>
      <c r="O652" t="str">
        <f t="shared" si="32"/>
        <v>Bachelor</v>
      </c>
    </row>
    <row r="653" spans="1:15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31"/>
        <v>Arizona</v>
      </c>
      <c r="N653" t="str">
        <f t="shared" si="33"/>
        <v>F</v>
      </c>
      <c r="O653" t="str">
        <f t="shared" si="32"/>
        <v>Bachelor</v>
      </c>
    </row>
    <row r="654" spans="1:15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31"/>
        <v>Oregon</v>
      </c>
      <c r="N654" t="str">
        <f t="shared" si="33"/>
        <v>F</v>
      </c>
      <c r="O654" t="str">
        <f t="shared" si="32"/>
        <v>Bachelor</v>
      </c>
    </row>
    <row r="655" spans="1:15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31"/>
        <v>Oregon</v>
      </c>
      <c r="N655" t="str">
        <f t="shared" si="33"/>
        <v>F</v>
      </c>
      <c r="O655" t="str">
        <f t="shared" si="32"/>
        <v>Bachelor</v>
      </c>
    </row>
    <row r="656" spans="1:15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31"/>
        <v>Washington</v>
      </c>
      <c r="N656" t="str">
        <f t="shared" si="33"/>
        <v>F</v>
      </c>
      <c r="O656" t="str">
        <f t="shared" si="32"/>
        <v>College</v>
      </c>
    </row>
    <row r="657" spans="1:15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31"/>
        <v>Arizona</v>
      </c>
      <c r="N657" t="str">
        <f t="shared" si="33"/>
        <v>M</v>
      </c>
      <c r="O657" t="str">
        <f t="shared" si="32"/>
        <v>High School or Below</v>
      </c>
    </row>
    <row r="658" spans="1:15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31"/>
        <v>Washington</v>
      </c>
      <c r="N658" t="str">
        <f t="shared" si="33"/>
        <v>F</v>
      </c>
      <c r="O658" t="str">
        <f t="shared" si="32"/>
        <v>Master</v>
      </c>
    </row>
    <row r="659" spans="1:15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31"/>
        <v>Washington</v>
      </c>
      <c r="N659" t="str">
        <f t="shared" si="33"/>
        <v>F</v>
      </c>
      <c r="O659" t="str">
        <f t="shared" si="32"/>
        <v>High School or Below</v>
      </c>
    </row>
    <row r="660" spans="1:15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31"/>
        <v>Oregon</v>
      </c>
      <c r="N660" t="str">
        <f t="shared" si="33"/>
        <v>F</v>
      </c>
      <c r="O660" t="str">
        <f t="shared" si="32"/>
        <v>Bachelor</v>
      </c>
    </row>
    <row r="661" spans="1:15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31"/>
        <v>Oregon</v>
      </c>
      <c r="N661" t="str">
        <f t="shared" si="33"/>
        <v>M</v>
      </c>
      <c r="O661" t="str">
        <f t="shared" si="32"/>
        <v>Bachelor</v>
      </c>
    </row>
    <row r="662" spans="1:15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31"/>
        <v>California</v>
      </c>
      <c r="N662" t="str">
        <f t="shared" si="33"/>
        <v>M</v>
      </c>
      <c r="O662" t="str">
        <f t="shared" si="32"/>
        <v>Master</v>
      </c>
    </row>
    <row r="663" spans="1:15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31"/>
        <v>Washington</v>
      </c>
      <c r="N663" t="str">
        <f t="shared" si="33"/>
        <v>F</v>
      </c>
      <c r="O663" t="str">
        <f t="shared" si="32"/>
        <v>High School or Below</v>
      </c>
    </row>
    <row r="664" spans="1:15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31"/>
        <v>California</v>
      </c>
      <c r="N664" t="str">
        <f t="shared" si="33"/>
        <v>F</v>
      </c>
      <c r="O664" t="str">
        <f t="shared" si="32"/>
        <v>High School or Below</v>
      </c>
    </row>
    <row r="665" spans="1:15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31"/>
        <v>California</v>
      </c>
      <c r="N665" t="str">
        <f t="shared" si="33"/>
        <v>F</v>
      </c>
      <c r="O665" t="str">
        <f t="shared" si="32"/>
        <v>High School or Below</v>
      </c>
    </row>
    <row r="666" spans="1:15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31"/>
        <v>Arizona</v>
      </c>
      <c r="N666" t="str">
        <f t="shared" si="33"/>
        <v>F</v>
      </c>
      <c r="O666" t="str">
        <f t="shared" si="32"/>
        <v>High School or Below</v>
      </c>
    </row>
    <row r="667" spans="1:15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31"/>
        <v>California</v>
      </c>
      <c r="N667" t="str">
        <f t="shared" si="33"/>
        <v>F</v>
      </c>
      <c r="O667" t="str">
        <f t="shared" si="32"/>
        <v>College</v>
      </c>
    </row>
    <row r="668" spans="1:15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31"/>
        <v>Oregon</v>
      </c>
      <c r="N668" t="str">
        <f t="shared" si="33"/>
        <v>F</v>
      </c>
      <c r="O668" t="str">
        <f t="shared" si="32"/>
        <v>College</v>
      </c>
    </row>
    <row r="669" spans="1:15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31"/>
        <v>Oregon</v>
      </c>
      <c r="N669" t="str">
        <f t="shared" si="33"/>
        <v>M</v>
      </c>
      <c r="O669" t="str">
        <f t="shared" si="32"/>
        <v>Bachelor</v>
      </c>
    </row>
    <row r="670" spans="1:15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31"/>
        <v>Arizona</v>
      </c>
      <c r="N670" t="str">
        <f t="shared" si="33"/>
        <v>F</v>
      </c>
      <c r="O670" t="str">
        <f t="shared" si="32"/>
        <v>High School or Below</v>
      </c>
    </row>
    <row r="671" spans="1:15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31"/>
        <v>California</v>
      </c>
      <c r="N671" t="str">
        <f t="shared" si="33"/>
        <v>F</v>
      </c>
      <c r="O671" t="str">
        <f t="shared" si="32"/>
        <v>High School or Below</v>
      </c>
    </row>
    <row r="672" spans="1:15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31"/>
        <v>California</v>
      </c>
      <c r="N672" t="str">
        <f t="shared" si="33"/>
        <v>F</v>
      </c>
      <c r="O672" t="str">
        <f t="shared" si="32"/>
        <v>Bachelor</v>
      </c>
    </row>
    <row r="673" spans="1:15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31"/>
        <v>Oregon</v>
      </c>
      <c r="N673" t="str">
        <f t="shared" si="33"/>
        <v>F</v>
      </c>
      <c r="O673" t="str">
        <f t="shared" si="32"/>
        <v>College</v>
      </c>
    </row>
    <row r="674" spans="1:15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31"/>
        <v>California</v>
      </c>
      <c r="N674" t="str">
        <f t="shared" si="33"/>
        <v>F</v>
      </c>
      <c r="O674" t="str">
        <f t="shared" si="32"/>
        <v>High School or Below</v>
      </c>
    </row>
    <row r="675" spans="1:15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31"/>
        <v>Arizona</v>
      </c>
      <c r="N675" t="str">
        <f t="shared" si="33"/>
        <v>M</v>
      </c>
      <c r="O675" t="str">
        <f t="shared" si="32"/>
        <v>High School or Below</v>
      </c>
    </row>
    <row r="676" spans="1:15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31"/>
        <v>Oregon</v>
      </c>
      <c r="N676" t="str">
        <f t="shared" si="33"/>
        <v>M</v>
      </c>
      <c r="O676" t="str">
        <f t="shared" si="32"/>
        <v>College</v>
      </c>
    </row>
    <row r="677" spans="1:15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31"/>
        <v>Arizona</v>
      </c>
      <c r="N677" t="str">
        <f t="shared" si="33"/>
        <v>F</v>
      </c>
      <c r="O677" t="str">
        <f t="shared" si="32"/>
        <v>College</v>
      </c>
    </row>
    <row r="678" spans="1:15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31"/>
        <v>Oregon</v>
      </c>
      <c r="N678" t="str">
        <f t="shared" si="33"/>
        <v>F</v>
      </c>
      <c r="O678" t="str">
        <f t="shared" si="32"/>
        <v>Bachelor</v>
      </c>
    </row>
    <row r="679" spans="1:15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31"/>
        <v>Oregon</v>
      </c>
      <c r="N679" t="str">
        <f t="shared" si="33"/>
        <v>M</v>
      </c>
      <c r="O679" t="str">
        <f t="shared" si="32"/>
        <v>High School or Below</v>
      </c>
    </row>
    <row r="680" spans="1:15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31"/>
        <v>Oregon</v>
      </c>
      <c r="N680" t="str">
        <f t="shared" si="33"/>
        <v>M</v>
      </c>
      <c r="O680" t="str">
        <f t="shared" si="32"/>
        <v>Bachelor</v>
      </c>
    </row>
    <row r="681" spans="1:15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31"/>
        <v>Nevada</v>
      </c>
      <c r="N681" t="str">
        <f t="shared" si="33"/>
        <v>M</v>
      </c>
      <c r="O681" t="str">
        <f t="shared" si="32"/>
        <v>Bachelor</v>
      </c>
    </row>
    <row r="682" spans="1:15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31"/>
        <v>Arizona</v>
      </c>
      <c r="N682" t="str">
        <f t="shared" si="33"/>
        <v>M</v>
      </c>
      <c r="O682" t="str">
        <f t="shared" si="32"/>
        <v>College</v>
      </c>
    </row>
    <row r="683" spans="1:15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31"/>
        <v>Arizona</v>
      </c>
      <c r="N683" t="str">
        <f t="shared" si="33"/>
        <v>M</v>
      </c>
      <c r="O683" t="str">
        <f t="shared" si="32"/>
        <v>Master</v>
      </c>
    </row>
    <row r="684" spans="1:15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31"/>
        <v>Oregon</v>
      </c>
      <c r="N684" t="str">
        <f t="shared" si="33"/>
        <v>F</v>
      </c>
      <c r="O684" t="str">
        <f t="shared" si="32"/>
        <v>Master</v>
      </c>
    </row>
    <row r="685" spans="1:15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31"/>
        <v>California</v>
      </c>
      <c r="N685" t="str">
        <f t="shared" si="33"/>
        <v>F</v>
      </c>
      <c r="O685" t="str">
        <f t="shared" si="32"/>
        <v>High School or Below</v>
      </c>
    </row>
    <row r="686" spans="1:15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31"/>
        <v>Oregon</v>
      </c>
      <c r="N686" t="str">
        <f t="shared" si="33"/>
        <v>M</v>
      </c>
      <c r="O686" t="str">
        <f t="shared" si="32"/>
        <v>Bachelor</v>
      </c>
    </row>
    <row r="687" spans="1:15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31"/>
        <v>Oregon</v>
      </c>
      <c r="N687" t="str">
        <f t="shared" si="33"/>
        <v>F</v>
      </c>
      <c r="O687" t="str">
        <f t="shared" si="32"/>
        <v>High School or Below</v>
      </c>
    </row>
    <row r="688" spans="1:15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31"/>
        <v>California</v>
      </c>
      <c r="N688" t="str">
        <f t="shared" si="33"/>
        <v>F</v>
      </c>
      <c r="O688" t="str">
        <f t="shared" si="32"/>
        <v>Bachelor</v>
      </c>
    </row>
    <row r="689" spans="1:15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31"/>
        <v>Arizona</v>
      </c>
      <c r="N689" t="str">
        <f t="shared" si="33"/>
        <v>F</v>
      </c>
      <c r="O689" t="str">
        <f t="shared" si="32"/>
        <v>College</v>
      </c>
    </row>
    <row r="690" spans="1:15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31"/>
        <v>Oregon</v>
      </c>
      <c r="N690" t="str">
        <f t="shared" si="33"/>
        <v>M</v>
      </c>
      <c r="O690" t="str">
        <f t="shared" si="32"/>
        <v>Bachelor</v>
      </c>
    </row>
    <row r="691" spans="1:15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31"/>
        <v>Oregon</v>
      </c>
      <c r="N691" t="str">
        <f t="shared" si="33"/>
        <v>F</v>
      </c>
      <c r="O691" t="str">
        <f t="shared" si="32"/>
        <v>Bachelor</v>
      </c>
    </row>
    <row r="692" spans="1:15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31"/>
        <v>Arizona</v>
      </c>
      <c r="N692" t="str">
        <f t="shared" si="33"/>
        <v>F</v>
      </c>
      <c r="O692" t="str">
        <f t="shared" si="32"/>
        <v>Master</v>
      </c>
    </row>
    <row r="693" spans="1:15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31"/>
        <v>Arizona</v>
      </c>
      <c r="N693" t="str">
        <f t="shared" si="33"/>
        <v>M</v>
      </c>
      <c r="O693" t="str">
        <f t="shared" si="32"/>
        <v>College</v>
      </c>
    </row>
    <row r="694" spans="1:15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31"/>
        <v>Oregon</v>
      </c>
      <c r="N694" t="str">
        <f t="shared" si="33"/>
        <v>F</v>
      </c>
      <c r="O694" t="str">
        <f t="shared" si="32"/>
        <v>Bachelor</v>
      </c>
    </row>
    <row r="695" spans="1:15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31"/>
        <v>Washington</v>
      </c>
      <c r="N695" t="str">
        <f t="shared" si="33"/>
        <v>M</v>
      </c>
      <c r="O695" t="str">
        <f t="shared" si="32"/>
        <v>Master</v>
      </c>
    </row>
    <row r="696" spans="1:15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31"/>
        <v>California</v>
      </c>
      <c r="N696" t="str">
        <f t="shared" si="33"/>
        <v>F</v>
      </c>
      <c r="O696" t="str">
        <f t="shared" si="32"/>
        <v>Bachelor</v>
      </c>
    </row>
    <row r="697" spans="1:15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31"/>
        <v>Oregon</v>
      </c>
      <c r="N697" t="str">
        <f t="shared" si="33"/>
        <v>M</v>
      </c>
      <c r="O697" t="str">
        <f t="shared" si="32"/>
        <v>High School or Below</v>
      </c>
    </row>
    <row r="698" spans="1:15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31"/>
        <v>Arizona</v>
      </c>
      <c r="N698" t="str">
        <f t="shared" si="33"/>
        <v>M</v>
      </c>
      <c r="O698" t="str">
        <f t="shared" si="32"/>
        <v>Bachelor</v>
      </c>
    </row>
    <row r="699" spans="1:15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31"/>
        <v>Nevada</v>
      </c>
      <c r="N699" t="str">
        <f t="shared" si="33"/>
        <v>M</v>
      </c>
      <c r="O699" t="str">
        <f t="shared" si="32"/>
        <v>College</v>
      </c>
    </row>
    <row r="700" spans="1:15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31"/>
        <v>Arizona</v>
      </c>
      <c r="N700" t="str">
        <f t="shared" si="33"/>
        <v>F</v>
      </c>
      <c r="O700" t="str">
        <f t="shared" si="32"/>
        <v>Bachelor</v>
      </c>
    </row>
    <row r="701" spans="1:15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31"/>
        <v>Washington</v>
      </c>
      <c r="N701" t="str">
        <f t="shared" si="33"/>
        <v>F</v>
      </c>
      <c r="O701" t="str">
        <f t="shared" si="32"/>
        <v>College</v>
      </c>
    </row>
    <row r="702" spans="1:15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31"/>
        <v>Oregon</v>
      </c>
      <c r="N702" t="str">
        <f t="shared" si="33"/>
        <v>F</v>
      </c>
      <c r="O702" t="str">
        <f t="shared" si="32"/>
        <v>College</v>
      </c>
    </row>
    <row r="703" spans="1:15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31"/>
        <v>Arizona</v>
      </c>
      <c r="N703" t="str">
        <f t="shared" si="33"/>
        <v>F</v>
      </c>
      <c r="O703" t="str">
        <f t="shared" si="32"/>
        <v>High School or Below</v>
      </c>
    </row>
    <row r="704" spans="1:15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31"/>
        <v>California</v>
      </c>
      <c r="N704" t="str">
        <f t="shared" si="33"/>
        <v>F</v>
      </c>
      <c r="O704" t="str">
        <f t="shared" si="32"/>
        <v>College</v>
      </c>
    </row>
    <row r="705" spans="1:15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31"/>
        <v>California</v>
      </c>
      <c r="N705" t="str">
        <f t="shared" si="33"/>
        <v>M</v>
      </c>
      <c r="O705" t="str">
        <f t="shared" si="32"/>
        <v>College</v>
      </c>
    </row>
    <row r="706" spans="1:15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31"/>
        <v>Nevada</v>
      </c>
      <c r="N706" t="str">
        <f t="shared" si="33"/>
        <v>F</v>
      </c>
      <c r="O706" t="str">
        <f t="shared" si="32"/>
        <v>Bachelor</v>
      </c>
    </row>
    <row r="707" spans="1:15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34">IF(B707="Cali","California",IF(B707="AZ","Arizona",IF(B707="WA","Washington",B707)))</f>
        <v>California</v>
      </c>
      <c r="N707" t="str">
        <f t="shared" si="33"/>
        <v>F</v>
      </c>
      <c r="O707" t="str">
        <f t="shared" ref="O707:O770" si="35">IF(D707="Bachelors","Bachelor",D707)</f>
        <v>High School or Below</v>
      </c>
    </row>
    <row r="708" spans="1:15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34"/>
        <v>California</v>
      </c>
      <c r="N708" t="str">
        <f t="shared" si="33"/>
        <v>M</v>
      </c>
      <c r="O708" t="str">
        <f t="shared" si="35"/>
        <v>High School or Below</v>
      </c>
    </row>
    <row r="709" spans="1:15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34"/>
        <v>Oregon</v>
      </c>
      <c r="N709" t="str">
        <f t="shared" si="33"/>
        <v>F</v>
      </c>
      <c r="O709" t="str">
        <f t="shared" si="35"/>
        <v>High School or Below</v>
      </c>
    </row>
    <row r="710" spans="1:15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34"/>
        <v>California</v>
      </c>
      <c r="N710" t="str">
        <f t="shared" si="33"/>
        <v>M</v>
      </c>
      <c r="O710" t="str">
        <f t="shared" si="35"/>
        <v>High School or Below</v>
      </c>
    </row>
    <row r="711" spans="1:15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34"/>
        <v>Oregon</v>
      </c>
      <c r="N711" t="str">
        <f t="shared" si="33"/>
        <v>M</v>
      </c>
      <c r="O711" t="str">
        <f t="shared" si="35"/>
        <v>Bachelor</v>
      </c>
    </row>
    <row r="712" spans="1:15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34"/>
        <v>California</v>
      </c>
      <c r="N712" t="str">
        <f t="shared" si="33"/>
        <v>F</v>
      </c>
      <c r="O712" t="str">
        <f t="shared" si="35"/>
        <v>College</v>
      </c>
    </row>
    <row r="713" spans="1:15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34"/>
        <v>Oregon</v>
      </c>
      <c r="N713" t="str">
        <f t="shared" ref="N713:N776" si="36">IF(OR(C713="F",C713="female",C713="Femal"),"F",IF(OR(C713="M",C713="male",C713="Male"),"M",C713))</f>
        <v>M</v>
      </c>
      <c r="O713" t="str">
        <f t="shared" si="35"/>
        <v>Bachelor</v>
      </c>
    </row>
    <row r="714" spans="1:15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34"/>
        <v>Arizona</v>
      </c>
      <c r="N714" t="str">
        <f t="shared" si="36"/>
        <v>M</v>
      </c>
      <c r="O714" t="str">
        <f t="shared" si="35"/>
        <v>Bachelor</v>
      </c>
    </row>
    <row r="715" spans="1:15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34"/>
        <v>California</v>
      </c>
      <c r="N715" t="str">
        <f t="shared" si="36"/>
        <v>M</v>
      </c>
      <c r="O715" t="str">
        <f t="shared" si="35"/>
        <v>Bachelor</v>
      </c>
    </row>
    <row r="716" spans="1:15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34"/>
        <v>Nevada</v>
      </c>
      <c r="N716" t="str">
        <f t="shared" si="36"/>
        <v>M</v>
      </c>
      <c r="O716" t="str">
        <f t="shared" si="35"/>
        <v>Bachelor</v>
      </c>
    </row>
    <row r="717" spans="1:15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34"/>
        <v>Arizona</v>
      </c>
      <c r="N717" t="str">
        <f t="shared" si="36"/>
        <v>F</v>
      </c>
      <c r="O717" t="str">
        <f t="shared" si="35"/>
        <v>Bachelor</v>
      </c>
    </row>
    <row r="718" spans="1:15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34"/>
        <v>Oregon</v>
      </c>
      <c r="N718" t="str">
        <f t="shared" si="36"/>
        <v>F</v>
      </c>
      <c r="O718" t="str">
        <f t="shared" si="35"/>
        <v>College</v>
      </c>
    </row>
    <row r="719" spans="1:15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34"/>
        <v>California</v>
      </c>
      <c r="N719" t="str">
        <f t="shared" si="36"/>
        <v>M</v>
      </c>
      <c r="O719" t="str">
        <f t="shared" si="35"/>
        <v>College</v>
      </c>
    </row>
    <row r="720" spans="1:15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34"/>
        <v>Arizona</v>
      </c>
      <c r="N720" t="str">
        <f t="shared" si="36"/>
        <v>F</v>
      </c>
      <c r="O720" t="str">
        <f t="shared" si="35"/>
        <v>High School or Below</v>
      </c>
    </row>
    <row r="721" spans="1:15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34"/>
        <v>Washington</v>
      </c>
      <c r="N721" t="str">
        <f t="shared" si="36"/>
        <v>M</v>
      </c>
      <c r="O721" t="str">
        <f t="shared" si="35"/>
        <v>Master</v>
      </c>
    </row>
    <row r="722" spans="1:15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34"/>
        <v>California</v>
      </c>
      <c r="N722" t="str">
        <f t="shared" si="36"/>
        <v>M</v>
      </c>
      <c r="O722" t="str">
        <f t="shared" si="35"/>
        <v>College</v>
      </c>
    </row>
    <row r="723" spans="1:15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34"/>
        <v>California</v>
      </c>
      <c r="N723" t="str">
        <f t="shared" si="36"/>
        <v>M</v>
      </c>
      <c r="O723" t="str">
        <f t="shared" si="35"/>
        <v>Bachelor</v>
      </c>
    </row>
    <row r="724" spans="1:15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34"/>
        <v>California</v>
      </c>
      <c r="N724" t="str">
        <f t="shared" si="36"/>
        <v>M</v>
      </c>
      <c r="O724" t="str">
        <f t="shared" si="35"/>
        <v>College</v>
      </c>
    </row>
    <row r="725" spans="1:15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34"/>
        <v>California</v>
      </c>
      <c r="N725" t="str">
        <f t="shared" si="36"/>
        <v>M</v>
      </c>
      <c r="O725" t="str">
        <f t="shared" si="35"/>
        <v>Bachelor</v>
      </c>
    </row>
    <row r="726" spans="1:15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34"/>
        <v>Oregon</v>
      </c>
      <c r="N726" t="str">
        <f t="shared" si="36"/>
        <v>M</v>
      </c>
      <c r="O726" t="str">
        <f t="shared" si="35"/>
        <v>College</v>
      </c>
    </row>
    <row r="727" spans="1:15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34"/>
        <v>Arizona</v>
      </c>
      <c r="N727" t="str">
        <f t="shared" si="36"/>
        <v>M</v>
      </c>
      <c r="O727" t="str">
        <f t="shared" si="35"/>
        <v>Bachelor</v>
      </c>
    </row>
    <row r="728" spans="1:15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34"/>
        <v>Arizona</v>
      </c>
      <c r="N728" t="str">
        <f t="shared" si="36"/>
        <v>F</v>
      </c>
      <c r="O728" t="str">
        <f t="shared" si="35"/>
        <v>High School or Below</v>
      </c>
    </row>
    <row r="729" spans="1:15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34"/>
        <v>Oregon</v>
      </c>
      <c r="N729" t="str">
        <f t="shared" si="36"/>
        <v>F</v>
      </c>
      <c r="O729" t="str">
        <f t="shared" si="35"/>
        <v>College</v>
      </c>
    </row>
    <row r="730" spans="1:15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34"/>
        <v>California</v>
      </c>
      <c r="N730" t="str">
        <f t="shared" si="36"/>
        <v>M</v>
      </c>
      <c r="O730" t="str">
        <f t="shared" si="35"/>
        <v>High School or Below</v>
      </c>
    </row>
    <row r="731" spans="1:15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34"/>
        <v>California</v>
      </c>
      <c r="N731" t="str">
        <f t="shared" si="36"/>
        <v>M</v>
      </c>
      <c r="O731" t="str">
        <f t="shared" si="35"/>
        <v>College</v>
      </c>
    </row>
    <row r="732" spans="1:15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34"/>
        <v>Nevada</v>
      </c>
      <c r="N732" t="str">
        <f t="shared" si="36"/>
        <v>M</v>
      </c>
      <c r="O732" t="str">
        <f t="shared" si="35"/>
        <v>Master</v>
      </c>
    </row>
    <row r="733" spans="1:15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34"/>
        <v>Washington</v>
      </c>
      <c r="N733" t="str">
        <f t="shared" si="36"/>
        <v>F</v>
      </c>
      <c r="O733" t="str">
        <f t="shared" si="35"/>
        <v>College</v>
      </c>
    </row>
    <row r="734" spans="1:15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34"/>
        <v>Arizona</v>
      </c>
      <c r="N734" t="str">
        <f t="shared" si="36"/>
        <v>M</v>
      </c>
      <c r="O734" t="str">
        <f t="shared" si="35"/>
        <v>Bachelor</v>
      </c>
    </row>
    <row r="735" spans="1:15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34"/>
        <v>Nevada</v>
      </c>
      <c r="N735" t="str">
        <f t="shared" si="36"/>
        <v>M</v>
      </c>
      <c r="O735" t="str">
        <f t="shared" si="35"/>
        <v>Bachelor</v>
      </c>
    </row>
    <row r="736" spans="1:15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34"/>
        <v>Arizona</v>
      </c>
      <c r="N736" t="str">
        <f t="shared" si="36"/>
        <v>M</v>
      </c>
      <c r="O736" t="str">
        <f t="shared" si="35"/>
        <v>Bachelor</v>
      </c>
    </row>
    <row r="737" spans="1:15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34"/>
        <v>Arizona</v>
      </c>
      <c r="N737" t="str">
        <f t="shared" si="36"/>
        <v>F</v>
      </c>
      <c r="O737" t="str">
        <f t="shared" si="35"/>
        <v>High School or Below</v>
      </c>
    </row>
    <row r="738" spans="1:15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34"/>
        <v>California</v>
      </c>
      <c r="N738" t="str">
        <f t="shared" si="36"/>
        <v>M</v>
      </c>
      <c r="O738" t="str">
        <f t="shared" si="35"/>
        <v>Bachelor</v>
      </c>
    </row>
    <row r="739" spans="1:15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34"/>
        <v>Arizona</v>
      </c>
      <c r="N739" t="str">
        <f t="shared" si="36"/>
        <v>M</v>
      </c>
      <c r="O739" t="str">
        <f t="shared" si="35"/>
        <v>Bachelor</v>
      </c>
    </row>
    <row r="740" spans="1:15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34"/>
        <v>Oregon</v>
      </c>
      <c r="N740" t="str">
        <f t="shared" si="36"/>
        <v>F</v>
      </c>
      <c r="O740" t="str">
        <f t="shared" si="35"/>
        <v>Bachelor</v>
      </c>
    </row>
    <row r="741" spans="1:15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34"/>
        <v>California</v>
      </c>
      <c r="N741" t="str">
        <f t="shared" si="36"/>
        <v>M</v>
      </c>
      <c r="O741" t="str">
        <f t="shared" si="35"/>
        <v>College</v>
      </c>
    </row>
    <row r="742" spans="1:15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34"/>
        <v>Oregon</v>
      </c>
      <c r="N742" t="str">
        <f t="shared" si="36"/>
        <v>M</v>
      </c>
      <c r="O742" t="str">
        <f t="shared" si="35"/>
        <v>College</v>
      </c>
    </row>
    <row r="743" spans="1:15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34"/>
        <v>Washington</v>
      </c>
      <c r="N743" t="str">
        <f t="shared" si="36"/>
        <v>M</v>
      </c>
      <c r="O743" t="str">
        <f t="shared" si="35"/>
        <v>Bachelor</v>
      </c>
    </row>
    <row r="744" spans="1:15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34"/>
        <v>Oregon</v>
      </c>
      <c r="N744" t="str">
        <f t="shared" si="36"/>
        <v>M</v>
      </c>
      <c r="O744" t="str">
        <f t="shared" si="35"/>
        <v>Master</v>
      </c>
    </row>
    <row r="745" spans="1:15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34"/>
        <v>California</v>
      </c>
      <c r="N745" t="str">
        <f t="shared" si="36"/>
        <v>F</v>
      </c>
      <c r="O745" t="str">
        <f t="shared" si="35"/>
        <v>High School or Below</v>
      </c>
    </row>
    <row r="746" spans="1:15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34"/>
        <v>Nevada</v>
      </c>
      <c r="N746" t="str">
        <f t="shared" si="36"/>
        <v>M</v>
      </c>
      <c r="O746" t="str">
        <f t="shared" si="35"/>
        <v>Bachelor</v>
      </c>
    </row>
    <row r="747" spans="1:15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34"/>
        <v>Oregon</v>
      </c>
      <c r="N747" t="str">
        <f t="shared" si="36"/>
        <v>F</v>
      </c>
      <c r="O747" t="str">
        <f t="shared" si="35"/>
        <v>High School or Below</v>
      </c>
    </row>
    <row r="748" spans="1:15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34"/>
        <v>California</v>
      </c>
      <c r="N748" t="str">
        <f t="shared" si="36"/>
        <v>F</v>
      </c>
      <c r="O748" t="str">
        <f t="shared" si="35"/>
        <v>Bachelor</v>
      </c>
    </row>
    <row r="749" spans="1:15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34"/>
        <v>Washington</v>
      </c>
      <c r="N749" t="str">
        <f t="shared" si="36"/>
        <v>F</v>
      </c>
      <c r="O749" t="str">
        <f t="shared" si="35"/>
        <v>High School or Below</v>
      </c>
    </row>
    <row r="750" spans="1:15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34"/>
        <v>Nevada</v>
      </c>
      <c r="N750" t="str">
        <f t="shared" si="36"/>
        <v>F</v>
      </c>
      <c r="O750" t="str">
        <f t="shared" si="35"/>
        <v>Master</v>
      </c>
    </row>
    <row r="751" spans="1:15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34"/>
        <v>Oregon</v>
      </c>
      <c r="N751" t="str">
        <f t="shared" si="36"/>
        <v>F</v>
      </c>
      <c r="O751" t="str">
        <f t="shared" si="35"/>
        <v>College</v>
      </c>
    </row>
    <row r="752" spans="1:15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34"/>
        <v>California</v>
      </c>
      <c r="N752" t="str">
        <f t="shared" si="36"/>
        <v>M</v>
      </c>
      <c r="O752" t="str">
        <f t="shared" si="35"/>
        <v>College</v>
      </c>
    </row>
    <row r="753" spans="1:15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34"/>
        <v>Washington</v>
      </c>
      <c r="N753" t="str">
        <f t="shared" si="36"/>
        <v>F</v>
      </c>
      <c r="O753" t="str">
        <f t="shared" si="35"/>
        <v>High School or Below</v>
      </c>
    </row>
    <row r="754" spans="1:15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34"/>
        <v>Arizona</v>
      </c>
      <c r="N754" t="str">
        <f t="shared" si="36"/>
        <v>F</v>
      </c>
      <c r="O754" t="str">
        <f t="shared" si="35"/>
        <v>College</v>
      </c>
    </row>
    <row r="755" spans="1:15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34"/>
        <v>California</v>
      </c>
      <c r="N755" t="str">
        <f t="shared" si="36"/>
        <v>F</v>
      </c>
      <c r="O755" t="str">
        <f t="shared" si="35"/>
        <v>College</v>
      </c>
    </row>
    <row r="756" spans="1:15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34"/>
        <v>California</v>
      </c>
      <c r="N756" t="str">
        <f t="shared" si="36"/>
        <v>F</v>
      </c>
      <c r="O756" t="str">
        <f t="shared" si="35"/>
        <v>Bachelor</v>
      </c>
    </row>
    <row r="757" spans="1:15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34"/>
        <v>California</v>
      </c>
      <c r="N757" t="str">
        <f t="shared" si="36"/>
        <v>F</v>
      </c>
      <c r="O757" t="str">
        <f t="shared" si="35"/>
        <v>Bachelor</v>
      </c>
    </row>
    <row r="758" spans="1:15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34"/>
        <v>Nevada</v>
      </c>
      <c r="N758" t="str">
        <f t="shared" si="36"/>
        <v>F</v>
      </c>
      <c r="O758" t="str">
        <f t="shared" si="35"/>
        <v>College</v>
      </c>
    </row>
    <row r="759" spans="1:15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34"/>
        <v>Arizona</v>
      </c>
      <c r="N759" t="str">
        <f t="shared" si="36"/>
        <v>M</v>
      </c>
      <c r="O759" t="str">
        <f t="shared" si="35"/>
        <v>High School or Below</v>
      </c>
    </row>
    <row r="760" spans="1:15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34"/>
        <v>Arizona</v>
      </c>
      <c r="N760" t="str">
        <f t="shared" si="36"/>
        <v>F</v>
      </c>
      <c r="O760" t="str">
        <f t="shared" si="35"/>
        <v>Bachelor</v>
      </c>
    </row>
    <row r="761" spans="1:15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34"/>
        <v>Oregon</v>
      </c>
      <c r="N761" t="str">
        <f t="shared" si="36"/>
        <v>M</v>
      </c>
      <c r="O761" t="str">
        <f t="shared" si="35"/>
        <v>College</v>
      </c>
    </row>
    <row r="762" spans="1:15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34"/>
        <v>Washington</v>
      </c>
      <c r="N762" t="str">
        <f t="shared" si="36"/>
        <v>M</v>
      </c>
      <c r="O762" t="str">
        <f t="shared" si="35"/>
        <v>High School or Below</v>
      </c>
    </row>
    <row r="763" spans="1:15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34"/>
        <v>California</v>
      </c>
      <c r="N763" t="str">
        <f t="shared" si="36"/>
        <v>F</v>
      </c>
      <c r="O763" t="str">
        <f t="shared" si="35"/>
        <v>High School or Below</v>
      </c>
    </row>
    <row r="764" spans="1:15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34"/>
        <v>California</v>
      </c>
      <c r="N764" t="str">
        <f t="shared" si="36"/>
        <v>F</v>
      </c>
      <c r="O764" t="str">
        <f t="shared" si="35"/>
        <v>High School or Below</v>
      </c>
    </row>
    <row r="765" spans="1:15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34"/>
        <v>Arizona</v>
      </c>
      <c r="N765" t="str">
        <f t="shared" si="36"/>
        <v>M</v>
      </c>
      <c r="O765" t="str">
        <f t="shared" si="35"/>
        <v>College</v>
      </c>
    </row>
    <row r="766" spans="1:15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34"/>
        <v>Nevada</v>
      </c>
      <c r="N766" t="str">
        <f t="shared" si="36"/>
        <v>M</v>
      </c>
      <c r="O766" t="str">
        <f t="shared" si="35"/>
        <v>High School or Below</v>
      </c>
    </row>
    <row r="767" spans="1:15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34"/>
        <v>Oregon</v>
      </c>
      <c r="N767" t="str">
        <f t="shared" si="36"/>
        <v>F</v>
      </c>
      <c r="O767" t="str">
        <f t="shared" si="35"/>
        <v>High School or Below</v>
      </c>
    </row>
    <row r="768" spans="1:15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34"/>
        <v>Oregon</v>
      </c>
      <c r="N768" t="str">
        <f t="shared" si="36"/>
        <v>F</v>
      </c>
      <c r="O768" t="str">
        <f t="shared" si="35"/>
        <v>Bachelor</v>
      </c>
    </row>
    <row r="769" spans="1:15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34"/>
        <v>California</v>
      </c>
      <c r="N769" t="str">
        <f t="shared" si="36"/>
        <v>M</v>
      </c>
      <c r="O769" t="str">
        <f t="shared" si="35"/>
        <v>College</v>
      </c>
    </row>
    <row r="770" spans="1:15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34"/>
        <v>California</v>
      </c>
      <c r="N770" t="str">
        <f t="shared" si="36"/>
        <v>F</v>
      </c>
      <c r="O770" t="str">
        <f t="shared" si="35"/>
        <v>College</v>
      </c>
    </row>
    <row r="771" spans="1:15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37">IF(B771="Cali","California",IF(B771="AZ","Arizona",IF(B771="WA","Washington",B771)))</f>
        <v>Oregon</v>
      </c>
      <c r="N771" t="str">
        <f t="shared" si="36"/>
        <v>M</v>
      </c>
      <c r="O771" t="str">
        <f t="shared" ref="O771:O834" si="38">IF(D771="Bachelors","Bachelor",D771)</f>
        <v>Bachelor</v>
      </c>
    </row>
    <row r="772" spans="1:15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37"/>
        <v>Washington</v>
      </c>
      <c r="N772" t="str">
        <f t="shared" si="36"/>
        <v>F</v>
      </c>
      <c r="O772" t="str">
        <f t="shared" si="38"/>
        <v>College</v>
      </c>
    </row>
    <row r="773" spans="1:15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37"/>
        <v>California</v>
      </c>
      <c r="N773" t="str">
        <f t="shared" si="36"/>
        <v>F</v>
      </c>
      <c r="O773" t="str">
        <f t="shared" si="38"/>
        <v>Bachelor</v>
      </c>
    </row>
    <row r="774" spans="1:15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37"/>
        <v>Nevada</v>
      </c>
      <c r="N774" t="str">
        <f t="shared" si="36"/>
        <v>F</v>
      </c>
      <c r="O774" t="str">
        <f t="shared" si="38"/>
        <v>Bachelor</v>
      </c>
    </row>
    <row r="775" spans="1:15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37"/>
        <v>California</v>
      </c>
      <c r="N775" t="str">
        <f t="shared" si="36"/>
        <v>F</v>
      </c>
      <c r="O775" t="str">
        <f t="shared" si="38"/>
        <v>College</v>
      </c>
    </row>
    <row r="776" spans="1:15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37"/>
        <v>Arizona</v>
      </c>
      <c r="N776" t="str">
        <f t="shared" si="36"/>
        <v>M</v>
      </c>
      <c r="O776" t="str">
        <f t="shared" si="38"/>
        <v>Bachelor</v>
      </c>
    </row>
    <row r="777" spans="1:15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37"/>
        <v>Oregon</v>
      </c>
      <c r="N777" t="str">
        <f t="shared" ref="N777:N840" si="39">IF(OR(C777="F",C777="female",C777="Femal"),"F",IF(OR(C777="M",C777="male",C777="Male"),"M",C777))</f>
        <v>M</v>
      </c>
      <c r="O777" t="str">
        <f t="shared" si="38"/>
        <v>Bachelor</v>
      </c>
    </row>
    <row r="778" spans="1:15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37"/>
        <v>California</v>
      </c>
      <c r="N778" t="str">
        <f t="shared" si="39"/>
        <v>F</v>
      </c>
      <c r="O778" t="str">
        <f t="shared" si="38"/>
        <v>High School or Below</v>
      </c>
    </row>
    <row r="779" spans="1:15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37"/>
        <v>California</v>
      </c>
      <c r="N779" t="str">
        <f t="shared" si="39"/>
        <v>M</v>
      </c>
      <c r="O779" t="str">
        <f t="shared" si="38"/>
        <v>Bachelor</v>
      </c>
    </row>
    <row r="780" spans="1:15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37"/>
        <v>Oregon</v>
      </c>
      <c r="N780" t="str">
        <f t="shared" si="39"/>
        <v>M</v>
      </c>
      <c r="O780" t="str">
        <f t="shared" si="38"/>
        <v>College</v>
      </c>
    </row>
    <row r="781" spans="1:15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37"/>
        <v>California</v>
      </c>
      <c r="N781" t="str">
        <f t="shared" si="39"/>
        <v>F</v>
      </c>
      <c r="O781" t="str">
        <f t="shared" si="38"/>
        <v>High School or Below</v>
      </c>
    </row>
    <row r="782" spans="1:15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37"/>
        <v>Oregon</v>
      </c>
      <c r="N782" t="str">
        <f t="shared" si="39"/>
        <v>M</v>
      </c>
      <c r="O782" t="str">
        <f t="shared" si="38"/>
        <v>Bachelor</v>
      </c>
    </row>
    <row r="783" spans="1:15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37"/>
        <v>Oregon</v>
      </c>
      <c r="N783" t="str">
        <f t="shared" si="39"/>
        <v>F</v>
      </c>
      <c r="O783" t="str">
        <f t="shared" si="38"/>
        <v>High School or Below</v>
      </c>
    </row>
    <row r="784" spans="1:15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37"/>
        <v>California</v>
      </c>
      <c r="N784" t="str">
        <f t="shared" si="39"/>
        <v>F</v>
      </c>
      <c r="O784" t="str">
        <f t="shared" si="38"/>
        <v>College</v>
      </c>
    </row>
    <row r="785" spans="1:15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37"/>
        <v>Nevada</v>
      </c>
      <c r="N785" t="str">
        <f t="shared" si="39"/>
        <v>M</v>
      </c>
      <c r="O785" t="str">
        <f t="shared" si="38"/>
        <v>College</v>
      </c>
    </row>
    <row r="786" spans="1:15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37"/>
        <v>Oregon</v>
      </c>
      <c r="N786" t="str">
        <f t="shared" si="39"/>
        <v>M</v>
      </c>
      <c r="O786" t="str">
        <f t="shared" si="38"/>
        <v>College</v>
      </c>
    </row>
    <row r="787" spans="1:15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37"/>
        <v>California</v>
      </c>
      <c r="N787" t="str">
        <f t="shared" si="39"/>
        <v>F</v>
      </c>
      <c r="O787" t="str">
        <f t="shared" si="38"/>
        <v>High School or Below</v>
      </c>
    </row>
    <row r="788" spans="1:15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37"/>
        <v>Arizona</v>
      </c>
      <c r="N788" t="str">
        <f t="shared" si="39"/>
        <v>F</v>
      </c>
      <c r="O788" t="str">
        <f t="shared" si="38"/>
        <v>College</v>
      </c>
    </row>
    <row r="789" spans="1:15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37"/>
        <v>Nevada</v>
      </c>
      <c r="N789" t="str">
        <f t="shared" si="39"/>
        <v>F</v>
      </c>
      <c r="O789" t="str">
        <f t="shared" si="38"/>
        <v>Master</v>
      </c>
    </row>
    <row r="790" spans="1:15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37"/>
        <v>Oregon</v>
      </c>
      <c r="N790" t="str">
        <f t="shared" si="39"/>
        <v>F</v>
      </c>
      <c r="O790" t="str">
        <f t="shared" si="38"/>
        <v>College</v>
      </c>
    </row>
    <row r="791" spans="1:15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37"/>
        <v>Arizona</v>
      </c>
      <c r="N791" t="str">
        <f t="shared" si="39"/>
        <v>M</v>
      </c>
      <c r="O791" t="str">
        <f t="shared" si="38"/>
        <v>College</v>
      </c>
    </row>
    <row r="792" spans="1:15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37"/>
        <v>Washington</v>
      </c>
      <c r="N792" t="str">
        <f t="shared" si="39"/>
        <v>M</v>
      </c>
      <c r="O792" t="str">
        <f t="shared" si="38"/>
        <v>College</v>
      </c>
    </row>
    <row r="793" spans="1:15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37"/>
        <v>California</v>
      </c>
      <c r="N793" t="str">
        <f t="shared" si="39"/>
        <v>M</v>
      </c>
      <c r="O793" t="str">
        <f t="shared" si="38"/>
        <v>College</v>
      </c>
    </row>
    <row r="794" spans="1:15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37"/>
        <v>Arizona</v>
      </c>
      <c r="N794" t="str">
        <f t="shared" si="39"/>
        <v>M</v>
      </c>
      <c r="O794" t="str">
        <f t="shared" si="38"/>
        <v>College</v>
      </c>
    </row>
    <row r="795" spans="1:15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37"/>
        <v>Arizona</v>
      </c>
      <c r="N795" t="str">
        <f t="shared" si="39"/>
        <v>F</v>
      </c>
      <c r="O795" t="str">
        <f t="shared" si="38"/>
        <v>College</v>
      </c>
    </row>
    <row r="796" spans="1:15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37"/>
        <v>Arizona</v>
      </c>
      <c r="N796" t="str">
        <f t="shared" si="39"/>
        <v>F</v>
      </c>
      <c r="O796" t="str">
        <f t="shared" si="38"/>
        <v>Master</v>
      </c>
    </row>
    <row r="797" spans="1:15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37"/>
        <v>Oregon</v>
      </c>
      <c r="N797" t="str">
        <f t="shared" si="39"/>
        <v>F</v>
      </c>
      <c r="O797" t="str">
        <f t="shared" si="38"/>
        <v>High School or Below</v>
      </c>
    </row>
    <row r="798" spans="1:15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37"/>
        <v>Nevada</v>
      </c>
      <c r="N798" t="str">
        <f t="shared" si="39"/>
        <v>F</v>
      </c>
      <c r="O798" t="str">
        <f t="shared" si="38"/>
        <v>Bachelor</v>
      </c>
    </row>
    <row r="799" spans="1:15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37"/>
        <v>Washington</v>
      </c>
      <c r="N799" t="str">
        <f t="shared" si="39"/>
        <v>F</v>
      </c>
      <c r="O799" t="str">
        <f t="shared" si="38"/>
        <v>Bachelor</v>
      </c>
    </row>
    <row r="800" spans="1:15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37"/>
        <v>California</v>
      </c>
      <c r="N800" t="str">
        <f t="shared" si="39"/>
        <v>M</v>
      </c>
      <c r="O800" t="str">
        <f t="shared" si="38"/>
        <v>College</v>
      </c>
    </row>
    <row r="801" spans="1:15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37"/>
        <v>Oregon</v>
      </c>
      <c r="N801" t="str">
        <f t="shared" si="39"/>
        <v>M</v>
      </c>
      <c r="O801" t="str">
        <f t="shared" si="38"/>
        <v>College</v>
      </c>
    </row>
    <row r="802" spans="1:15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37"/>
        <v>Oregon</v>
      </c>
      <c r="N802" t="str">
        <f t="shared" si="39"/>
        <v>F</v>
      </c>
      <c r="O802" t="str">
        <f t="shared" si="38"/>
        <v>College</v>
      </c>
    </row>
    <row r="803" spans="1:15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37"/>
        <v>Oregon</v>
      </c>
      <c r="N803" t="str">
        <f t="shared" si="39"/>
        <v>F</v>
      </c>
      <c r="O803" t="str">
        <f t="shared" si="38"/>
        <v>Bachelor</v>
      </c>
    </row>
    <row r="804" spans="1:15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37"/>
        <v>California</v>
      </c>
      <c r="N804" t="str">
        <f t="shared" si="39"/>
        <v>F</v>
      </c>
      <c r="O804" t="str">
        <f t="shared" si="38"/>
        <v>High School or Below</v>
      </c>
    </row>
    <row r="805" spans="1:15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37"/>
        <v>Oregon</v>
      </c>
      <c r="N805" t="str">
        <f t="shared" si="39"/>
        <v>F</v>
      </c>
      <c r="O805" t="str">
        <f t="shared" si="38"/>
        <v>College</v>
      </c>
    </row>
    <row r="806" spans="1:15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37"/>
        <v>Oregon</v>
      </c>
      <c r="N806" t="str">
        <f t="shared" si="39"/>
        <v>F</v>
      </c>
      <c r="O806" t="str">
        <f t="shared" si="38"/>
        <v>High School or Below</v>
      </c>
    </row>
    <row r="807" spans="1:15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37"/>
        <v>Nevada</v>
      </c>
      <c r="N807" t="str">
        <f t="shared" si="39"/>
        <v>M</v>
      </c>
      <c r="O807" t="str">
        <f t="shared" si="38"/>
        <v>High School or Below</v>
      </c>
    </row>
    <row r="808" spans="1:15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37"/>
        <v>California</v>
      </c>
      <c r="N808" t="str">
        <f t="shared" si="39"/>
        <v>F</v>
      </c>
      <c r="O808" t="str">
        <f t="shared" si="38"/>
        <v>High School or Below</v>
      </c>
    </row>
    <row r="809" spans="1:15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37"/>
        <v>Arizona</v>
      </c>
      <c r="N809" t="str">
        <f t="shared" si="39"/>
        <v>M</v>
      </c>
      <c r="O809" t="str">
        <f t="shared" si="38"/>
        <v>Bachelor</v>
      </c>
    </row>
    <row r="810" spans="1:15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37"/>
        <v>Arizona</v>
      </c>
      <c r="N810" t="str">
        <f t="shared" si="39"/>
        <v>F</v>
      </c>
      <c r="O810" t="str">
        <f t="shared" si="38"/>
        <v>Bachelor</v>
      </c>
    </row>
    <row r="811" spans="1:15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37"/>
        <v>California</v>
      </c>
      <c r="N811" t="str">
        <f t="shared" si="39"/>
        <v>F</v>
      </c>
      <c r="O811" t="str">
        <f t="shared" si="38"/>
        <v>Bachelor</v>
      </c>
    </row>
    <row r="812" spans="1:15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37"/>
        <v>Oregon</v>
      </c>
      <c r="N812" t="str">
        <f t="shared" si="39"/>
        <v>M</v>
      </c>
      <c r="O812" t="str">
        <f t="shared" si="38"/>
        <v>Bachelor</v>
      </c>
    </row>
    <row r="813" spans="1:15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37"/>
        <v>Washington</v>
      </c>
      <c r="N813" t="str">
        <f t="shared" si="39"/>
        <v>M</v>
      </c>
      <c r="O813" t="str">
        <f t="shared" si="38"/>
        <v>Bachelor</v>
      </c>
    </row>
    <row r="814" spans="1:15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37"/>
        <v>Arizona</v>
      </c>
      <c r="N814" t="str">
        <f t="shared" si="39"/>
        <v>M</v>
      </c>
      <c r="O814" t="str">
        <f t="shared" si="38"/>
        <v>Doctor</v>
      </c>
    </row>
    <row r="815" spans="1:15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37"/>
        <v>Arizona</v>
      </c>
      <c r="N815" t="str">
        <f t="shared" si="39"/>
        <v>M</v>
      </c>
      <c r="O815" t="str">
        <f t="shared" si="38"/>
        <v>High School or Below</v>
      </c>
    </row>
    <row r="816" spans="1:15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37"/>
        <v>Washington</v>
      </c>
      <c r="N816" t="str">
        <f t="shared" si="39"/>
        <v>M</v>
      </c>
      <c r="O816" t="str">
        <f t="shared" si="38"/>
        <v>High School or Below</v>
      </c>
    </row>
    <row r="817" spans="1:15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37"/>
        <v>California</v>
      </c>
      <c r="N817" t="str">
        <f t="shared" si="39"/>
        <v>M</v>
      </c>
      <c r="O817" t="str">
        <f t="shared" si="38"/>
        <v>Master</v>
      </c>
    </row>
    <row r="818" spans="1:15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37"/>
        <v>Oregon</v>
      </c>
      <c r="N818" t="str">
        <f t="shared" si="39"/>
        <v>F</v>
      </c>
      <c r="O818" t="str">
        <f t="shared" si="38"/>
        <v>College</v>
      </c>
    </row>
    <row r="819" spans="1:15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37"/>
        <v>California</v>
      </c>
      <c r="N819" t="str">
        <f t="shared" si="39"/>
        <v>M</v>
      </c>
      <c r="O819" t="str">
        <f t="shared" si="38"/>
        <v>Bachelor</v>
      </c>
    </row>
    <row r="820" spans="1:15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37"/>
        <v>California</v>
      </c>
      <c r="N820" t="str">
        <f t="shared" si="39"/>
        <v>M</v>
      </c>
      <c r="O820" t="str">
        <f t="shared" si="38"/>
        <v>College</v>
      </c>
    </row>
    <row r="821" spans="1:15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37"/>
        <v>Oregon</v>
      </c>
      <c r="N821" t="str">
        <f t="shared" si="39"/>
        <v>F</v>
      </c>
      <c r="O821" t="str">
        <f t="shared" si="38"/>
        <v>Bachelor</v>
      </c>
    </row>
    <row r="822" spans="1:15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37"/>
        <v>Washington</v>
      </c>
      <c r="N822" t="str">
        <f t="shared" si="39"/>
        <v>F</v>
      </c>
      <c r="O822" t="str">
        <f t="shared" si="38"/>
        <v>High School or Below</v>
      </c>
    </row>
    <row r="823" spans="1:15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37"/>
        <v>Nevada</v>
      </c>
      <c r="N823" t="str">
        <f t="shared" si="39"/>
        <v>F</v>
      </c>
      <c r="O823" t="str">
        <f t="shared" si="38"/>
        <v>High School or Below</v>
      </c>
    </row>
    <row r="824" spans="1:15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37"/>
        <v>Oregon</v>
      </c>
      <c r="N824" t="str">
        <f t="shared" si="39"/>
        <v>M</v>
      </c>
      <c r="O824" t="str">
        <f t="shared" si="38"/>
        <v>Bachelor</v>
      </c>
    </row>
    <row r="825" spans="1:15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37"/>
        <v>Oregon</v>
      </c>
      <c r="N825" t="str">
        <f t="shared" si="39"/>
        <v>F</v>
      </c>
      <c r="O825" t="str">
        <f t="shared" si="38"/>
        <v>Doctor</v>
      </c>
    </row>
    <row r="826" spans="1:15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37"/>
        <v>California</v>
      </c>
      <c r="N826" t="str">
        <f t="shared" si="39"/>
        <v>F</v>
      </c>
      <c r="O826" t="str">
        <f t="shared" si="38"/>
        <v>High School or Below</v>
      </c>
    </row>
    <row r="827" spans="1:15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37"/>
        <v>California</v>
      </c>
      <c r="N827" t="str">
        <f t="shared" si="39"/>
        <v>M</v>
      </c>
      <c r="O827" t="str">
        <f t="shared" si="38"/>
        <v>Bachelor</v>
      </c>
    </row>
    <row r="828" spans="1:15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37"/>
        <v>California</v>
      </c>
      <c r="N828" t="str">
        <f t="shared" si="39"/>
        <v>F</v>
      </c>
      <c r="O828" t="str">
        <f t="shared" si="38"/>
        <v>Master</v>
      </c>
    </row>
    <row r="829" spans="1:15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37"/>
        <v>Nevada</v>
      </c>
      <c r="N829" t="str">
        <f t="shared" si="39"/>
        <v>F</v>
      </c>
      <c r="O829" t="str">
        <f t="shared" si="38"/>
        <v>Doctor</v>
      </c>
    </row>
    <row r="830" spans="1:15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37"/>
        <v>Nevada</v>
      </c>
      <c r="N830" t="str">
        <f t="shared" si="39"/>
        <v>M</v>
      </c>
      <c r="O830" t="str">
        <f t="shared" si="38"/>
        <v>High School or Below</v>
      </c>
    </row>
    <row r="831" spans="1:15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37"/>
        <v>Oregon</v>
      </c>
      <c r="N831" t="str">
        <f t="shared" si="39"/>
        <v>F</v>
      </c>
      <c r="O831" t="str">
        <f t="shared" si="38"/>
        <v>College</v>
      </c>
    </row>
    <row r="832" spans="1:15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37"/>
        <v>California</v>
      </c>
      <c r="N832" t="str">
        <f t="shared" si="39"/>
        <v>F</v>
      </c>
      <c r="O832" t="str">
        <f t="shared" si="38"/>
        <v>Master</v>
      </c>
    </row>
    <row r="833" spans="1:15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37"/>
        <v>Oregon</v>
      </c>
      <c r="N833" t="str">
        <f t="shared" si="39"/>
        <v>F</v>
      </c>
      <c r="O833" t="str">
        <f t="shared" si="38"/>
        <v>College</v>
      </c>
    </row>
    <row r="834" spans="1:15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37"/>
        <v>Oregon</v>
      </c>
      <c r="N834" t="str">
        <f t="shared" si="39"/>
        <v>M</v>
      </c>
      <c r="O834" t="str">
        <f t="shared" si="38"/>
        <v>College</v>
      </c>
    </row>
    <row r="835" spans="1:15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40">IF(B835="Cali","California",IF(B835="AZ","Arizona",IF(B835="WA","Washington",B835)))</f>
        <v>California</v>
      </c>
      <c r="N835" t="str">
        <f t="shared" si="39"/>
        <v>M</v>
      </c>
      <c r="O835" t="str">
        <f t="shared" ref="O835:O898" si="41">IF(D835="Bachelors","Bachelor",D835)</f>
        <v>College</v>
      </c>
    </row>
    <row r="836" spans="1:15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40"/>
        <v>Washington</v>
      </c>
      <c r="N836" t="str">
        <f t="shared" si="39"/>
        <v>M</v>
      </c>
      <c r="O836" t="str">
        <f t="shared" si="41"/>
        <v>College</v>
      </c>
    </row>
    <row r="837" spans="1:15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40"/>
        <v>Arizona</v>
      </c>
      <c r="N837" t="str">
        <f t="shared" si="39"/>
        <v>M</v>
      </c>
      <c r="O837" t="str">
        <f t="shared" si="41"/>
        <v>Master</v>
      </c>
    </row>
    <row r="838" spans="1:15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40"/>
        <v>Arizona</v>
      </c>
      <c r="N838" t="str">
        <f t="shared" si="39"/>
        <v>M</v>
      </c>
      <c r="O838" t="str">
        <f t="shared" si="41"/>
        <v>Master</v>
      </c>
    </row>
    <row r="839" spans="1:15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40"/>
        <v>Arizona</v>
      </c>
      <c r="N839" t="str">
        <f t="shared" si="39"/>
        <v>F</v>
      </c>
      <c r="O839" t="str">
        <f t="shared" si="41"/>
        <v>High School or Below</v>
      </c>
    </row>
    <row r="840" spans="1:15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40"/>
        <v>California</v>
      </c>
      <c r="N840" t="str">
        <f t="shared" si="39"/>
        <v>M</v>
      </c>
      <c r="O840" t="str">
        <f t="shared" si="41"/>
        <v>Bachelor</v>
      </c>
    </row>
    <row r="841" spans="1:15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40"/>
        <v>Oregon</v>
      </c>
      <c r="N841" t="str">
        <f t="shared" ref="N841:N904" si="42">IF(OR(C841="F",C841="female",C841="Femal"),"F",IF(OR(C841="M",C841="male",C841="Male"),"M",C841))</f>
        <v>F</v>
      </c>
      <c r="O841" t="str">
        <f t="shared" si="41"/>
        <v>College</v>
      </c>
    </row>
    <row r="842" spans="1:15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40"/>
        <v>California</v>
      </c>
      <c r="N842" t="str">
        <f t="shared" si="42"/>
        <v>M</v>
      </c>
      <c r="O842" t="str">
        <f t="shared" si="41"/>
        <v>College</v>
      </c>
    </row>
    <row r="843" spans="1:15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40"/>
        <v>California</v>
      </c>
      <c r="N843" t="str">
        <f t="shared" si="42"/>
        <v>F</v>
      </c>
      <c r="O843" t="str">
        <f t="shared" si="41"/>
        <v>Bachelor</v>
      </c>
    </row>
    <row r="844" spans="1:15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40"/>
        <v>California</v>
      </c>
      <c r="N844" t="str">
        <f t="shared" si="42"/>
        <v>F</v>
      </c>
      <c r="O844" t="str">
        <f t="shared" si="41"/>
        <v>High School or Below</v>
      </c>
    </row>
    <row r="845" spans="1:15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40"/>
        <v>California</v>
      </c>
      <c r="N845" t="str">
        <f t="shared" si="42"/>
        <v>M</v>
      </c>
      <c r="O845" t="str">
        <f t="shared" si="41"/>
        <v>Bachelor</v>
      </c>
    </row>
    <row r="846" spans="1:15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40"/>
        <v>California</v>
      </c>
      <c r="N846" t="str">
        <f t="shared" si="42"/>
        <v>M</v>
      </c>
      <c r="O846" t="str">
        <f t="shared" si="41"/>
        <v>High School or Below</v>
      </c>
    </row>
    <row r="847" spans="1:15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40"/>
        <v>Arizona</v>
      </c>
      <c r="N847" t="str">
        <f t="shared" si="42"/>
        <v>F</v>
      </c>
      <c r="O847" t="str">
        <f t="shared" si="41"/>
        <v>High School or Below</v>
      </c>
    </row>
    <row r="848" spans="1:15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40"/>
        <v>California</v>
      </c>
      <c r="N848" t="str">
        <f t="shared" si="42"/>
        <v>F</v>
      </c>
      <c r="O848" t="str">
        <f t="shared" si="41"/>
        <v>Master</v>
      </c>
    </row>
    <row r="849" spans="1:15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40"/>
        <v>California</v>
      </c>
      <c r="N849" t="str">
        <f t="shared" si="42"/>
        <v>F</v>
      </c>
      <c r="O849" t="str">
        <f t="shared" si="41"/>
        <v>College</v>
      </c>
    </row>
    <row r="850" spans="1:15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40"/>
        <v>Oregon</v>
      </c>
      <c r="N850" t="str">
        <f t="shared" si="42"/>
        <v>M</v>
      </c>
      <c r="O850" t="str">
        <f t="shared" si="41"/>
        <v>College</v>
      </c>
    </row>
    <row r="851" spans="1:15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40"/>
        <v>California</v>
      </c>
      <c r="N851" t="str">
        <f t="shared" si="42"/>
        <v>F</v>
      </c>
      <c r="O851" t="str">
        <f t="shared" si="41"/>
        <v>Bachelor</v>
      </c>
    </row>
    <row r="852" spans="1:15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40"/>
        <v>Oregon</v>
      </c>
      <c r="N852" t="str">
        <f t="shared" si="42"/>
        <v>M</v>
      </c>
      <c r="O852" t="str">
        <f t="shared" si="41"/>
        <v>Bachelor</v>
      </c>
    </row>
    <row r="853" spans="1:15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40"/>
        <v>California</v>
      </c>
      <c r="N853" t="str">
        <f t="shared" si="42"/>
        <v>M</v>
      </c>
      <c r="O853" t="str">
        <f t="shared" si="41"/>
        <v>College</v>
      </c>
    </row>
    <row r="854" spans="1:15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40"/>
        <v>Oregon</v>
      </c>
      <c r="N854" t="str">
        <f t="shared" si="42"/>
        <v>M</v>
      </c>
      <c r="O854" t="str">
        <f t="shared" si="41"/>
        <v>College</v>
      </c>
    </row>
    <row r="855" spans="1:15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40"/>
        <v>Washington</v>
      </c>
      <c r="N855" t="str">
        <f t="shared" si="42"/>
        <v>M</v>
      </c>
      <c r="O855" t="str">
        <f t="shared" si="41"/>
        <v>College</v>
      </c>
    </row>
    <row r="856" spans="1:15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40"/>
        <v>California</v>
      </c>
      <c r="N856" t="str">
        <f t="shared" si="42"/>
        <v>M</v>
      </c>
      <c r="O856" t="str">
        <f t="shared" si="41"/>
        <v>Doctor</v>
      </c>
    </row>
    <row r="857" spans="1:15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40"/>
        <v>California</v>
      </c>
      <c r="N857" t="str">
        <f t="shared" si="42"/>
        <v>M</v>
      </c>
      <c r="O857" t="str">
        <f t="shared" si="41"/>
        <v>Bachelor</v>
      </c>
    </row>
    <row r="858" spans="1:15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40"/>
        <v>Washington</v>
      </c>
      <c r="N858" t="str">
        <f t="shared" si="42"/>
        <v>F</v>
      </c>
      <c r="O858" t="str">
        <f t="shared" si="41"/>
        <v>College</v>
      </c>
    </row>
    <row r="859" spans="1:15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40"/>
        <v>California</v>
      </c>
      <c r="N859" t="str">
        <f t="shared" si="42"/>
        <v>F</v>
      </c>
      <c r="O859" t="str">
        <f t="shared" si="41"/>
        <v>Master</v>
      </c>
    </row>
    <row r="860" spans="1:15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40"/>
        <v>California</v>
      </c>
      <c r="N860" t="str">
        <f t="shared" si="42"/>
        <v>F</v>
      </c>
      <c r="O860" t="str">
        <f t="shared" si="41"/>
        <v>College</v>
      </c>
    </row>
    <row r="861" spans="1:15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40"/>
        <v>Oregon</v>
      </c>
      <c r="N861" t="str">
        <f t="shared" si="42"/>
        <v>M</v>
      </c>
      <c r="O861" t="str">
        <f t="shared" si="41"/>
        <v>Master</v>
      </c>
    </row>
    <row r="862" spans="1:15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40"/>
        <v>Arizona</v>
      </c>
      <c r="N862" t="str">
        <f t="shared" si="42"/>
        <v>F</v>
      </c>
      <c r="O862" t="str">
        <f t="shared" si="41"/>
        <v>Bachelor</v>
      </c>
    </row>
    <row r="863" spans="1:15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40"/>
        <v>Washington</v>
      </c>
      <c r="N863" t="str">
        <f t="shared" si="42"/>
        <v>M</v>
      </c>
      <c r="O863" t="str">
        <f t="shared" si="41"/>
        <v>High School or Below</v>
      </c>
    </row>
    <row r="864" spans="1:15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40"/>
        <v>California</v>
      </c>
      <c r="N864" t="str">
        <f t="shared" si="42"/>
        <v>F</v>
      </c>
      <c r="O864" t="str">
        <f t="shared" si="41"/>
        <v>College</v>
      </c>
    </row>
    <row r="865" spans="1:15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40"/>
        <v>Oregon</v>
      </c>
      <c r="N865" t="str">
        <f t="shared" si="42"/>
        <v>F</v>
      </c>
      <c r="O865" t="str">
        <f t="shared" si="41"/>
        <v>College</v>
      </c>
    </row>
    <row r="866" spans="1:15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40"/>
        <v>Oregon</v>
      </c>
      <c r="N866" t="str">
        <f t="shared" si="42"/>
        <v>M</v>
      </c>
      <c r="O866" t="str">
        <f t="shared" si="41"/>
        <v>High School or Below</v>
      </c>
    </row>
    <row r="867" spans="1:15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40"/>
        <v>California</v>
      </c>
      <c r="N867" t="str">
        <f t="shared" si="42"/>
        <v>M</v>
      </c>
      <c r="O867" t="str">
        <f t="shared" si="41"/>
        <v>College</v>
      </c>
    </row>
    <row r="868" spans="1:15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40"/>
        <v>Arizona</v>
      </c>
      <c r="N868" t="str">
        <f t="shared" si="42"/>
        <v>M</v>
      </c>
      <c r="O868" t="str">
        <f t="shared" si="41"/>
        <v>Bachelor</v>
      </c>
    </row>
    <row r="869" spans="1:15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40"/>
        <v>Nevada</v>
      </c>
      <c r="N869" t="str">
        <f t="shared" si="42"/>
        <v>F</v>
      </c>
      <c r="O869" t="str">
        <f t="shared" si="41"/>
        <v>High School or Below</v>
      </c>
    </row>
    <row r="870" spans="1:15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40"/>
        <v>Nevada</v>
      </c>
      <c r="N870" t="str">
        <f t="shared" si="42"/>
        <v>F</v>
      </c>
      <c r="O870" t="str">
        <f t="shared" si="41"/>
        <v>High School or Below</v>
      </c>
    </row>
    <row r="871" spans="1:15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40"/>
        <v>Washington</v>
      </c>
      <c r="N871" t="str">
        <f t="shared" si="42"/>
        <v>F</v>
      </c>
      <c r="O871" t="str">
        <f t="shared" si="41"/>
        <v>College</v>
      </c>
    </row>
    <row r="872" spans="1:15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40"/>
        <v>Oregon</v>
      </c>
      <c r="N872" t="str">
        <f t="shared" si="42"/>
        <v>M</v>
      </c>
      <c r="O872" t="str">
        <f t="shared" si="41"/>
        <v>Master</v>
      </c>
    </row>
    <row r="873" spans="1:15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40"/>
        <v>Arizona</v>
      </c>
      <c r="N873" t="str">
        <f t="shared" si="42"/>
        <v>M</v>
      </c>
      <c r="O873" t="str">
        <f t="shared" si="41"/>
        <v>High School or Below</v>
      </c>
    </row>
    <row r="874" spans="1:15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40"/>
        <v>Arizona</v>
      </c>
      <c r="N874" t="str">
        <f t="shared" si="42"/>
        <v>M</v>
      </c>
      <c r="O874" t="str">
        <f t="shared" si="41"/>
        <v>Bachelor</v>
      </c>
    </row>
    <row r="875" spans="1:15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40"/>
        <v>Washington</v>
      </c>
      <c r="N875" t="str">
        <f t="shared" si="42"/>
        <v>M</v>
      </c>
      <c r="O875" t="str">
        <f t="shared" si="41"/>
        <v>College</v>
      </c>
    </row>
    <row r="876" spans="1:15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40"/>
        <v>California</v>
      </c>
      <c r="N876" t="str">
        <f t="shared" si="42"/>
        <v>M</v>
      </c>
      <c r="O876" t="str">
        <f t="shared" si="41"/>
        <v>High School or Below</v>
      </c>
    </row>
    <row r="877" spans="1:15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40"/>
        <v>Oregon</v>
      </c>
      <c r="N877" t="str">
        <f t="shared" si="42"/>
        <v>M</v>
      </c>
      <c r="O877" t="str">
        <f t="shared" si="41"/>
        <v>College</v>
      </c>
    </row>
    <row r="878" spans="1:15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40"/>
        <v>California</v>
      </c>
      <c r="N878" t="str">
        <f t="shared" si="42"/>
        <v>M</v>
      </c>
      <c r="O878" t="str">
        <f t="shared" si="41"/>
        <v>College</v>
      </c>
    </row>
    <row r="879" spans="1:15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40"/>
        <v>Arizona</v>
      </c>
      <c r="N879" t="str">
        <f t="shared" si="42"/>
        <v>M</v>
      </c>
      <c r="O879" t="str">
        <f t="shared" si="41"/>
        <v>Master</v>
      </c>
    </row>
    <row r="880" spans="1:15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40"/>
        <v>California</v>
      </c>
      <c r="N880" t="str">
        <f t="shared" si="42"/>
        <v>M</v>
      </c>
      <c r="O880" t="str">
        <f t="shared" si="41"/>
        <v>Bachelor</v>
      </c>
    </row>
    <row r="881" spans="1:15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40"/>
        <v>Oregon</v>
      </c>
      <c r="N881" t="str">
        <f t="shared" si="42"/>
        <v>F</v>
      </c>
      <c r="O881" t="str">
        <f t="shared" si="41"/>
        <v>College</v>
      </c>
    </row>
    <row r="882" spans="1:15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40"/>
        <v>Arizona</v>
      </c>
      <c r="N882" t="str">
        <f t="shared" si="42"/>
        <v>M</v>
      </c>
      <c r="O882" t="str">
        <f t="shared" si="41"/>
        <v>Bachelor</v>
      </c>
    </row>
    <row r="883" spans="1:15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40"/>
        <v>Arizona</v>
      </c>
      <c r="N883" t="str">
        <f t="shared" si="42"/>
        <v>F</v>
      </c>
      <c r="O883" t="str">
        <f t="shared" si="41"/>
        <v>High School or Below</v>
      </c>
    </row>
    <row r="884" spans="1:15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40"/>
        <v>Arizona</v>
      </c>
      <c r="N884" t="str">
        <f t="shared" si="42"/>
        <v>F</v>
      </c>
      <c r="O884" t="str">
        <f t="shared" si="41"/>
        <v>High School or Below</v>
      </c>
    </row>
    <row r="885" spans="1:15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40"/>
        <v>Oregon</v>
      </c>
      <c r="N885" t="str">
        <f t="shared" si="42"/>
        <v>M</v>
      </c>
      <c r="O885" t="str">
        <f t="shared" si="41"/>
        <v>High School or Below</v>
      </c>
    </row>
    <row r="886" spans="1:15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40"/>
        <v>Washington</v>
      </c>
      <c r="N886" t="str">
        <f t="shared" si="42"/>
        <v>F</v>
      </c>
      <c r="O886" t="str">
        <f t="shared" si="41"/>
        <v>High School or Below</v>
      </c>
    </row>
    <row r="887" spans="1:15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40"/>
        <v>Nevada</v>
      </c>
      <c r="N887" t="str">
        <f t="shared" si="42"/>
        <v>F</v>
      </c>
      <c r="O887" t="str">
        <f t="shared" si="41"/>
        <v>College</v>
      </c>
    </row>
    <row r="888" spans="1:15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40"/>
        <v>Arizona</v>
      </c>
      <c r="N888" t="str">
        <f t="shared" si="42"/>
        <v>M</v>
      </c>
      <c r="O888" t="str">
        <f t="shared" si="41"/>
        <v>High School or Below</v>
      </c>
    </row>
    <row r="889" spans="1:15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40"/>
        <v>California</v>
      </c>
      <c r="N889" t="str">
        <f t="shared" si="42"/>
        <v>M</v>
      </c>
      <c r="O889" t="str">
        <f t="shared" si="41"/>
        <v>High School or Below</v>
      </c>
    </row>
    <row r="890" spans="1:15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40"/>
        <v>Arizona</v>
      </c>
      <c r="N890" t="str">
        <f t="shared" si="42"/>
        <v>M</v>
      </c>
      <c r="O890" t="str">
        <f t="shared" si="41"/>
        <v>Bachelor</v>
      </c>
    </row>
    <row r="891" spans="1:15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40"/>
        <v>California</v>
      </c>
      <c r="N891" t="str">
        <f t="shared" si="42"/>
        <v>F</v>
      </c>
      <c r="O891" t="str">
        <f t="shared" si="41"/>
        <v>College</v>
      </c>
    </row>
    <row r="892" spans="1:15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40"/>
        <v>California</v>
      </c>
      <c r="N892" t="str">
        <f t="shared" si="42"/>
        <v>F</v>
      </c>
      <c r="O892" t="str">
        <f t="shared" si="41"/>
        <v>Bachelor</v>
      </c>
    </row>
    <row r="893" spans="1:15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40"/>
        <v>California</v>
      </c>
      <c r="N893" t="str">
        <f t="shared" si="42"/>
        <v>F</v>
      </c>
      <c r="O893" t="str">
        <f t="shared" si="41"/>
        <v>Bachelor</v>
      </c>
    </row>
    <row r="894" spans="1:15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40"/>
        <v>Arizona</v>
      </c>
      <c r="N894" t="str">
        <f t="shared" si="42"/>
        <v>F</v>
      </c>
      <c r="O894" t="str">
        <f t="shared" si="41"/>
        <v>High School or Below</v>
      </c>
    </row>
    <row r="895" spans="1:15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40"/>
        <v>Arizona</v>
      </c>
      <c r="N895" t="str">
        <f t="shared" si="42"/>
        <v>M</v>
      </c>
      <c r="O895" t="str">
        <f t="shared" si="41"/>
        <v>Bachelor</v>
      </c>
    </row>
    <row r="896" spans="1:15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40"/>
        <v>Oregon</v>
      </c>
      <c r="N896" t="str">
        <f t="shared" si="42"/>
        <v>M</v>
      </c>
      <c r="O896" t="str">
        <f t="shared" si="41"/>
        <v>Bachelor</v>
      </c>
    </row>
    <row r="897" spans="1:15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40"/>
        <v>California</v>
      </c>
      <c r="N897" t="str">
        <f t="shared" si="42"/>
        <v>M</v>
      </c>
      <c r="O897" t="str">
        <f t="shared" si="41"/>
        <v>High School or Below</v>
      </c>
    </row>
    <row r="898" spans="1:15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40"/>
        <v>Washington</v>
      </c>
      <c r="N898" t="str">
        <f t="shared" si="42"/>
        <v>M</v>
      </c>
      <c r="O898" t="str">
        <f t="shared" si="41"/>
        <v>Bachelor</v>
      </c>
    </row>
    <row r="899" spans="1:15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43">IF(B899="Cali","California",IF(B899="AZ","Arizona",IF(B899="WA","Washington",B899)))</f>
        <v>Washington</v>
      </c>
      <c r="N899" t="str">
        <f t="shared" si="42"/>
        <v>F</v>
      </c>
      <c r="O899" t="str">
        <f t="shared" ref="O899:O962" si="44">IF(D899="Bachelors","Bachelor",D899)</f>
        <v>High School or Below</v>
      </c>
    </row>
    <row r="900" spans="1:15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43"/>
        <v>Nevada</v>
      </c>
      <c r="N900" t="str">
        <f t="shared" si="42"/>
        <v>F</v>
      </c>
      <c r="O900" t="str">
        <f t="shared" si="44"/>
        <v>Master</v>
      </c>
    </row>
    <row r="901" spans="1:15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43"/>
        <v>California</v>
      </c>
      <c r="N901" t="str">
        <f t="shared" si="42"/>
        <v>F</v>
      </c>
      <c r="O901" t="str">
        <f t="shared" si="44"/>
        <v>Bachelor</v>
      </c>
    </row>
    <row r="902" spans="1:15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43"/>
        <v>Arizona</v>
      </c>
      <c r="N902" t="str">
        <f t="shared" si="42"/>
        <v>F</v>
      </c>
      <c r="O902" t="str">
        <f t="shared" si="44"/>
        <v>High School or Below</v>
      </c>
    </row>
    <row r="903" spans="1:15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43"/>
        <v>California</v>
      </c>
      <c r="N903" t="str">
        <f t="shared" si="42"/>
        <v>F</v>
      </c>
      <c r="O903" t="str">
        <f t="shared" si="44"/>
        <v>Bachelor</v>
      </c>
    </row>
    <row r="904" spans="1:15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43"/>
        <v>Oregon</v>
      </c>
      <c r="N904" t="str">
        <f t="shared" si="42"/>
        <v>M</v>
      </c>
      <c r="O904" t="str">
        <f t="shared" si="44"/>
        <v>Doctor</v>
      </c>
    </row>
    <row r="905" spans="1:15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43"/>
        <v>Oregon</v>
      </c>
      <c r="N905" t="str">
        <f t="shared" ref="N905:N968" si="45">IF(OR(C905="F",C905="female",C905="Femal"),"F",IF(OR(C905="M",C905="male",C905="Male"),"M",C905))</f>
        <v>F</v>
      </c>
      <c r="O905" t="str">
        <f t="shared" si="44"/>
        <v>Bachelor</v>
      </c>
    </row>
    <row r="906" spans="1:15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43"/>
        <v>Arizona</v>
      </c>
      <c r="N906" t="str">
        <f t="shared" si="45"/>
        <v>M</v>
      </c>
      <c r="O906" t="str">
        <f t="shared" si="44"/>
        <v>High School or Below</v>
      </c>
    </row>
    <row r="907" spans="1:15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43"/>
        <v>California</v>
      </c>
      <c r="N907" t="str">
        <f t="shared" si="45"/>
        <v>M</v>
      </c>
      <c r="O907" t="str">
        <f t="shared" si="44"/>
        <v>College</v>
      </c>
    </row>
    <row r="908" spans="1:15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43"/>
        <v>Arizona</v>
      </c>
      <c r="N908" t="str">
        <f t="shared" si="45"/>
        <v>F</v>
      </c>
      <c r="O908" t="str">
        <f t="shared" si="44"/>
        <v>College</v>
      </c>
    </row>
    <row r="909" spans="1:15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43"/>
        <v>California</v>
      </c>
      <c r="N909" t="str">
        <f t="shared" si="45"/>
        <v>F</v>
      </c>
      <c r="O909" t="str">
        <f t="shared" si="44"/>
        <v>College</v>
      </c>
    </row>
    <row r="910" spans="1:15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43"/>
        <v>Arizona</v>
      </c>
      <c r="N910" t="str">
        <f t="shared" si="45"/>
        <v>F</v>
      </c>
      <c r="O910" t="str">
        <f t="shared" si="44"/>
        <v>High School or Below</v>
      </c>
    </row>
    <row r="911" spans="1:15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43"/>
        <v>Nevada</v>
      </c>
      <c r="N911" t="str">
        <f t="shared" si="45"/>
        <v>F</v>
      </c>
      <c r="O911" t="str">
        <f t="shared" si="44"/>
        <v>Bachelor</v>
      </c>
    </row>
    <row r="912" spans="1:15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43"/>
        <v>Oregon</v>
      </c>
      <c r="N912" t="str">
        <f t="shared" si="45"/>
        <v>M</v>
      </c>
      <c r="O912" t="str">
        <f t="shared" si="44"/>
        <v>Bachelor</v>
      </c>
    </row>
    <row r="913" spans="1:15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43"/>
        <v>Arizona</v>
      </c>
      <c r="N913" t="str">
        <f t="shared" si="45"/>
        <v>F</v>
      </c>
      <c r="O913" t="str">
        <f t="shared" si="44"/>
        <v>High School or Below</v>
      </c>
    </row>
    <row r="914" spans="1:15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43"/>
        <v>Arizona</v>
      </c>
      <c r="N914" t="str">
        <f t="shared" si="45"/>
        <v>F</v>
      </c>
      <c r="O914" t="str">
        <f t="shared" si="44"/>
        <v>Bachelor</v>
      </c>
    </row>
    <row r="915" spans="1:15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43"/>
        <v>California</v>
      </c>
      <c r="N915" t="str">
        <f t="shared" si="45"/>
        <v>F</v>
      </c>
      <c r="O915" t="str">
        <f t="shared" si="44"/>
        <v>College</v>
      </c>
    </row>
    <row r="916" spans="1:15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43"/>
        <v>Washington</v>
      </c>
      <c r="N916" t="str">
        <f t="shared" si="45"/>
        <v>F</v>
      </c>
      <c r="O916" t="str">
        <f t="shared" si="44"/>
        <v>College</v>
      </c>
    </row>
    <row r="917" spans="1:15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43"/>
        <v>Washington</v>
      </c>
      <c r="N917" t="str">
        <f t="shared" si="45"/>
        <v>M</v>
      </c>
      <c r="O917" t="str">
        <f t="shared" si="44"/>
        <v>College</v>
      </c>
    </row>
    <row r="918" spans="1:15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43"/>
        <v>Oregon</v>
      </c>
      <c r="N918" t="str">
        <f t="shared" si="45"/>
        <v>F</v>
      </c>
      <c r="O918" t="str">
        <f t="shared" si="44"/>
        <v>College</v>
      </c>
    </row>
    <row r="919" spans="1:15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43"/>
        <v>Arizona</v>
      </c>
      <c r="N919" t="str">
        <f t="shared" si="45"/>
        <v>F</v>
      </c>
      <c r="O919" t="str">
        <f t="shared" si="44"/>
        <v>High School or Below</v>
      </c>
    </row>
    <row r="920" spans="1:15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43"/>
        <v>Washington</v>
      </c>
      <c r="N920" t="str">
        <f t="shared" si="45"/>
        <v>F</v>
      </c>
      <c r="O920" t="str">
        <f t="shared" si="44"/>
        <v>College</v>
      </c>
    </row>
    <row r="921" spans="1:15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43"/>
        <v>California</v>
      </c>
      <c r="N921" t="str">
        <f t="shared" si="45"/>
        <v>F</v>
      </c>
      <c r="O921" t="str">
        <f t="shared" si="44"/>
        <v>High School or Below</v>
      </c>
    </row>
    <row r="922" spans="1:15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43"/>
        <v>California</v>
      </c>
      <c r="N922" t="str">
        <f t="shared" si="45"/>
        <v>M</v>
      </c>
      <c r="O922" t="str">
        <f t="shared" si="44"/>
        <v>Bachelor</v>
      </c>
    </row>
    <row r="923" spans="1:15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43"/>
        <v>Oregon</v>
      </c>
      <c r="N923" t="str">
        <f t="shared" si="45"/>
        <v>M</v>
      </c>
      <c r="O923" t="str">
        <f t="shared" si="44"/>
        <v>College</v>
      </c>
    </row>
    <row r="924" spans="1:15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43"/>
        <v>Oregon</v>
      </c>
      <c r="N924" t="str">
        <f t="shared" si="45"/>
        <v>M</v>
      </c>
      <c r="O924" t="str">
        <f t="shared" si="44"/>
        <v>High School or Below</v>
      </c>
    </row>
    <row r="925" spans="1:15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43"/>
        <v>Arizona</v>
      </c>
      <c r="N925" t="str">
        <f t="shared" si="45"/>
        <v>F</v>
      </c>
      <c r="O925" t="str">
        <f t="shared" si="44"/>
        <v>Bachelor</v>
      </c>
    </row>
    <row r="926" spans="1:15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43"/>
        <v>Arizona</v>
      </c>
      <c r="N926" t="str">
        <f t="shared" si="45"/>
        <v>M</v>
      </c>
      <c r="O926" t="str">
        <f t="shared" si="44"/>
        <v>College</v>
      </c>
    </row>
    <row r="927" spans="1:15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43"/>
        <v>California</v>
      </c>
      <c r="N927" t="str">
        <f t="shared" si="45"/>
        <v>F</v>
      </c>
      <c r="O927" t="str">
        <f t="shared" si="44"/>
        <v>College</v>
      </c>
    </row>
    <row r="928" spans="1:15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43"/>
        <v>Oregon</v>
      </c>
      <c r="N928" t="str">
        <f t="shared" si="45"/>
        <v>F</v>
      </c>
      <c r="O928" t="str">
        <f t="shared" si="44"/>
        <v>College</v>
      </c>
    </row>
    <row r="929" spans="1:15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43"/>
        <v>Nevada</v>
      </c>
      <c r="N929" t="str">
        <f t="shared" si="45"/>
        <v>M</v>
      </c>
      <c r="O929" t="str">
        <f t="shared" si="44"/>
        <v>College</v>
      </c>
    </row>
    <row r="930" spans="1:15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43"/>
        <v>Nevada</v>
      </c>
      <c r="N930" t="str">
        <f t="shared" si="45"/>
        <v>M</v>
      </c>
      <c r="O930" t="str">
        <f t="shared" si="44"/>
        <v>High School or Below</v>
      </c>
    </row>
    <row r="931" spans="1:15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43"/>
        <v>Oregon</v>
      </c>
      <c r="N931" t="str">
        <f t="shared" si="45"/>
        <v>F</v>
      </c>
      <c r="O931" t="str">
        <f t="shared" si="44"/>
        <v>High School or Below</v>
      </c>
    </row>
    <row r="932" spans="1:15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43"/>
        <v>California</v>
      </c>
      <c r="N932" t="str">
        <f t="shared" si="45"/>
        <v>F</v>
      </c>
      <c r="O932" t="str">
        <f t="shared" si="44"/>
        <v>Bachelor</v>
      </c>
    </row>
    <row r="933" spans="1:15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43"/>
        <v>Nevada</v>
      </c>
      <c r="N933" t="str">
        <f t="shared" si="45"/>
        <v>F</v>
      </c>
      <c r="O933" t="str">
        <f t="shared" si="44"/>
        <v>Master</v>
      </c>
    </row>
    <row r="934" spans="1:15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43"/>
        <v>Oregon</v>
      </c>
      <c r="N934" t="str">
        <f t="shared" si="45"/>
        <v>M</v>
      </c>
      <c r="O934" t="str">
        <f t="shared" si="44"/>
        <v>Bachelor</v>
      </c>
    </row>
    <row r="935" spans="1:15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43"/>
        <v>Washington</v>
      </c>
      <c r="N935" t="str">
        <f t="shared" si="45"/>
        <v>M</v>
      </c>
      <c r="O935" t="str">
        <f t="shared" si="44"/>
        <v>Master</v>
      </c>
    </row>
    <row r="936" spans="1:15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43"/>
        <v>Oregon</v>
      </c>
      <c r="N936" t="str">
        <f t="shared" si="45"/>
        <v>M</v>
      </c>
      <c r="O936" t="str">
        <f t="shared" si="44"/>
        <v>Bachelor</v>
      </c>
    </row>
    <row r="937" spans="1:15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43"/>
        <v>California</v>
      </c>
      <c r="N937" t="str">
        <f t="shared" si="45"/>
        <v>F</v>
      </c>
      <c r="O937" t="str">
        <f t="shared" si="44"/>
        <v>High School or Below</v>
      </c>
    </row>
    <row r="938" spans="1:15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43"/>
        <v>Arizona</v>
      </c>
      <c r="N938" t="str">
        <f t="shared" si="45"/>
        <v>M</v>
      </c>
      <c r="O938" t="str">
        <f t="shared" si="44"/>
        <v>Bachelor</v>
      </c>
    </row>
    <row r="939" spans="1:15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43"/>
        <v>California</v>
      </c>
      <c r="N939" t="str">
        <f t="shared" si="45"/>
        <v>M</v>
      </c>
      <c r="O939" t="str">
        <f t="shared" si="44"/>
        <v>Master</v>
      </c>
    </row>
    <row r="940" spans="1:15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43"/>
        <v>Oregon</v>
      </c>
      <c r="N940" t="str">
        <f t="shared" si="45"/>
        <v>M</v>
      </c>
      <c r="O940" t="str">
        <f t="shared" si="44"/>
        <v>Bachelor</v>
      </c>
    </row>
    <row r="941" spans="1:15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43"/>
        <v>California</v>
      </c>
      <c r="N941" t="str">
        <f t="shared" si="45"/>
        <v>F</v>
      </c>
      <c r="O941" t="str">
        <f t="shared" si="44"/>
        <v>High School or Below</v>
      </c>
    </row>
    <row r="942" spans="1:15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43"/>
        <v>Arizona</v>
      </c>
      <c r="N942" t="str">
        <f t="shared" si="45"/>
        <v>M</v>
      </c>
      <c r="O942" t="str">
        <f t="shared" si="44"/>
        <v>College</v>
      </c>
    </row>
    <row r="943" spans="1:15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43"/>
        <v>Oregon</v>
      </c>
      <c r="N943" t="str">
        <f t="shared" si="45"/>
        <v>F</v>
      </c>
      <c r="O943" t="str">
        <f t="shared" si="44"/>
        <v>Bachelor</v>
      </c>
    </row>
    <row r="944" spans="1:15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43"/>
        <v>Washington</v>
      </c>
      <c r="N944" t="str">
        <f t="shared" si="45"/>
        <v>F</v>
      </c>
      <c r="O944" t="str">
        <f t="shared" si="44"/>
        <v>College</v>
      </c>
    </row>
    <row r="945" spans="1:15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43"/>
        <v>Arizona</v>
      </c>
      <c r="N945" t="str">
        <f t="shared" si="45"/>
        <v>F</v>
      </c>
      <c r="O945" t="str">
        <f t="shared" si="44"/>
        <v>High School or Below</v>
      </c>
    </row>
    <row r="946" spans="1:15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43"/>
        <v>Arizona</v>
      </c>
      <c r="N946" t="str">
        <f t="shared" si="45"/>
        <v>F</v>
      </c>
      <c r="O946" t="str">
        <f t="shared" si="44"/>
        <v>College</v>
      </c>
    </row>
    <row r="947" spans="1:15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43"/>
        <v>Oregon</v>
      </c>
      <c r="N947" t="str">
        <f t="shared" si="45"/>
        <v>M</v>
      </c>
      <c r="O947" t="str">
        <f t="shared" si="44"/>
        <v>Bachelor</v>
      </c>
    </row>
    <row r="948" spans="1:15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43"/>
        <v>California</v>
      </c>
      <c r="N948" t="str">
        <f t="shared" si="45"/>
        <v>F</v>
      </c>
      <c r="O948" t="str">
        <f t="shared" si="44"/>
        <v>High School or Below</v>
      </c>
    </row>
    <row r="949" spans="1:15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43"/>
        <v>Arizona</v>
      </c>
      <c r="N949" t="str">
        <f t="shared" si="45"/>
        <v>M</v>
      </c>
      <c r="O949" t="str">
        <f t="shared" si="44"/>
        <v>Bachelor</v>
      </c>
    </row>
    <row r="950" spans="1:15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43"/>
        <v>Arizona</v>
      </c>
      <c r="N950" t="str">
        <f t="shared" si="45"/>
        <v>F</v>
      </c>
      <c r="O950" t="str">
        <f t="shared" si="44"/>
        <v>Master</v>
      </c>
    </row>
    <row r="951" spans="1:15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43"/>
        <v>Oregon</v>
      </c>
      <c r="N951" t="str">
        <f t="shared" si="45"/>
        <v>F</v>
      </c>
      <c r="O951" t="str">
        <f t="shared" si="44"/>
        <v>High School or Below</v>
      </c>
    </row>
    <row r="952" spans="1:15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43"/>
        <v>Oregon</v>
      </c>
      <c r="N952" t="str">
        <f t="shared" si="45"/>
        <v>F</v>
      </c>
      <c r="O952" t="str">
        <f t="shared" si="44"/>
        <v>Bachelor</v>
      </c>
    </row>
    <row r="953" spans="1:15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43"/>
        <v>Arizona</v>
      </c>
      <c r="N953" t="str">
        <f t="shared" si="45"/>
        <v>F</v>
      </c>
      <c r="O953" t="str">
        <f t="shared" si="44"/>
        <v>Doctor</v>
      </c>
    </row>
    <row r="954" spans="1:15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43"/>
        <v>California</v>
      </c>
      <c r="N954" t="str">
        <f t="shared" si="45"/>
        <v>F</v>
      </c>
      <c r="O954" t="str">
        <f t="shared" si="44"/>
        <v>College</v>
      </c>
    </row>
    <row r="955" spans="1:15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43"/>
        <v>Oregon</v>
      </c>
      <c r="N955" t="str">
        <f t="shared" si="45"/>
        <v>F</v>
      </c>
      <c r="O955" t="str">
        <f t="shared" si="44"/>
        <v>College</v>
      </c>
    </row>
    <row r="956" spans="1:15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43"/>
        <v>California</v>
      </c>
      <c r="N956" t="str">
        <f t="shared" si="45"/>
        <v>M</v>
      </c>
      <c r="O956" t="str">
        <f t="shared" si="44"/>
        <v>High School or Below</v>
      </c>
    </row>
    <row r="957" spans="1:15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43"/>
        <v>Arizona</v>
      </c>
      <c r="N957" t="str">
        <f t="shared" si="45"/>
        <v>F</v>
      </c>
      <c r="O957" t="str">
        <f t="shared" si="44"/>
        <v>College</v>
      </c>
    </row>
    <row r="958" spans="1:15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43"/>
        <v>Nevada</v>
      </c>
      <c r="N958" t="str">
        <f t="shared" si="45"/>
        <v>F</v>
      </c>
      <c r="O958" t="str">
        <f t="shared" si="44"/>
        <v>Doctor</v>
      </c>
    </row>
    <row r="959" spans="1:15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43"/>
        <v>Washington</v>
      </c>
      <c r="N959" t="str">
        <f t="shared" si="45"/>
        <v>F</v>
      </c>
      <c r="O959" t="str">
        <f t="shared" si="44"/>
        <v>College</v>
      </c>
    </row>
    <row r="960" spans="1:15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43"/>
        <v>Arizona</v>
      </c>
      <c r="N960" t="str">
        <f t="shared" si="45"/>
        <v>M</v>
      </c>
      <c r="O960" t="str">
        <f t="shared" si="44"/>
        <v>Bachelor</v>
      </c>
    </row>
    <row r="961" spans="1:15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43"/>
        <v>California</v>
      </c>
      <c r="N961" t="str">
        <f t="shared" si="45"/>
        <v>M</v>
      </c>
      <c r="O961" t="str">
        <f t="shared" si="44"/>
        <v>College</v>
      </c>
    </row>
    <row r="962" spans="1:15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43"/>
        <v>California</v>
      </c>
      <c r="N962" t="str">
        <f t="shared" si="45"/>
        <v>M</v>
      </c>
      <c r="O962" t="str">
        <f t="shared" si="44"/>
        <v>High School or Below</v>
      </c>
    </row>
    <row r="963" spans="1:15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46">IF(B963="Cali","California",IF(B963="AZ","Arizona",IF(B963="WA","Washington",B963)))</f>
        <v>Oregon</v>
      </c>
      <c r="N963" t="str">
        <f t="shared" si="45"/>
        <v>M</v>
      </c>
      <c r="O963" t="str">
        <f t="shared" ref="O963:O1026" si="47">IF(D963="Bachelors","Bachelor",D963)</f>
        <v>High School or Below</v>
      </c>
    </row>
    <row r="964" spans="1:15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46"/>
        <v>Oregon</v>
      </c>
      <c r="N964" t="str">
        <f t="shared" si="45"/>
        <v>F</v>
      </c>
      <c r="O964" t="str">
        <f t="shared" si="47"/>
        <v>Bachelor</v>
      </c>
    </row>
    <row r="965" spans="1:15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46"/>
        <v>Oregon</v>
      </c>
      <c r="N965" t="str">
        <f t="shared" si="45"/>
        <v>F</v>
      </c>
      <c r="O965" t="str">
        <f t="shared" si="47"/>
        <v>High School or Below</v>
      </c>
    </row>
    <row r="966" spans="1:15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46"/>
        <v>California</v>
      </c>
      <c r="N966" t="str">
        <f t="shared" si="45"/>
        <v>M</v>
      </c>
      <c r="O966" t="str">
        <f t="shared" si="47"/>
        <v>High School or Below</v>
      </c>
    </row>
    <row r="967" spans="1:15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46"/>
        <v>California</v>
      </c>
      <c r="N967" t="str">
        <f t="shared" si="45"/>
        <v>F</v>
      </c>
      <c r="O967" t="str">
        <f t="shared" si="47"/>
        <v>Master</v>
      </c>
    </row>
    <row r="968" spans="1:15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46"/>
        <v>Arizona</v>
      </c>
      <c r="N968" t="str">
        <f t="shared" si="45"/>
        <v>M</v>
      </c>
      <c r="O968" t="str">
        <f t="shared" si="47"/>
        <v>Bachelor</v>
      </c>
    </row>
    <row r="969" spans="1:15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46"/>
        <v>Oregon</v>
      </c>
      <c r="N969" t="str">
        <f t="shared" ref="N969:N1032" si="48">IF(OR(C969="F",C969="female",C969="Femal"),"F",IF(OR(C969="M",C969="male",C969="Male"),"M",C969))</f>
        <v>F</v>
      </c>
      <c r="O969" t="str">
        <f t="shared" si="47"/>
        <v>College</v>
      </c>
    </row>
    <row r="970" spans="1:15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46"/>
        <v>California</v>
      </c>
      <c r="N970" t="str">
        <f t="shared" si="48"/>
        <v>M</v>
      </c>
      <c r="O970" t="str">
        <f t="shared" si="47"/>
        <v>Bachelor</v>
      </c>
    </row>
    <row r="971" spans="1:15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46"/>
        <v>Washington</v>
      </c>
      <c r="N971" t="str">
        <f t="shared" si="48"/>
        <v>F</v>
      </c>
      <c r="O971" t="str">
        <f t="shared" si="47"/>
        <v>College</v>
      </c>
    </row>
    <row r="972" spans="1:15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46"/>
        <v>Oregon</v>
      </c>
      <c r="N972" t="str">
        <f t="shared" si="48"/>
        <v>F</v>
      </c>
      <c r="O972" t="str">
        <f t="shared" si="47"/>
        <v>College</v>
      </c>
    </row>
    <row r="973" spans="1:15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46"/>
        <v>Arizona</v>
      </c>
      <c r="N973" t="str">
        <f t="shared" si="48"/>
        <v>M</v>
      </c>
      <c r="O973" t="str">
        <f t="shared" si="47"/>
        <v>College</v>
      </c>
    </row>
    <row r="974" spans="1:15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46"/>
        <v>Nevada</v>
      </c>
      <c r="N974" t="str">
        <f t="shared" si="48"/>
        <v>M</v>
      </c>
      <c r="O974" t="str">
        <f t="shared" si="47"/>
        <v>Bachelor</v>
      </c>
    </row>
    <row r="975" spans="1:15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46"/>
        <v>Nevada</v>
      </c>
      <c r="N975" t="str">
        <f t="shared" si="48"/>
        <v>F</v>
      </c>
      <c r="O975" t="str">
        <f t="shared" si="47"/>
        <v>College</v>
      </c>
    </row>
    <row r="976" spans="1:15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46"/>
        <v>Arizona</v>
      </c>
      <c r="N976" t="str">
        <f t="shared" si="48"/>
        <v>F</v>
      </c>
      <c r="O976" t="str">
        <f t="shared" si="47"/>
        <v>High School or Below</v>
      </c>
    </row>
    <row r="977" spans="1:15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46"/>
        <v>Oregon</v>
      </c>
      <c r="N977" t="str">
        <f t="shared" si="48"/>
        <v>F</v>
      </c>
      <c r="O977" t="str">
        <f t="shared" si="47"/>
        <v>Bachelor</v>
      </c>
    </row>
    <row r="978" spans="1:15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46"/>
        <v>Arizona</v>
      </c>
      <c r="N978" t="str">
        <f t="shared" si="48"/>
        <v>F</v>
      </c>
      <c r="O978" t="str">
        <f t="shared" si="47"/>
        <v>High School or Below</v>
      </c>
    </row>
    <row r="979" spans="1:15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46"/>
        <v>Oregon</v>
      </c>
      <c r="N979" t="str">
        <f t="shared" si="48"/>
        <v>M</v>
      </c>
      <c r="O979" t="str">
        <f t="shared" si="47"/>
        <v>High School or Below</v>
      </c>
    </row>
    <row r="980" spans="1:15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46"/>
        <v>California</v>
      </c>
      <c r="N980" t="str">
        <f t="shared" si="48"/>
        <v>M</v>
      </c>
      <c r="O980" t="str">
        <f t="shared" si="47"/>
        <v>Bachelor</v>
      </c>
    </row>
    <row r="981" spans="1:15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46"/>
        <v>California</v>
      </c>
      <c r="N981" t="str">
        <f t="shared" si="48"/>
        <v>F</v>
      </c>
      <c r="O981" t="str">
        <f t="shared" si="47"/>
        <v>High School or Below</v>
      </c>
    </row>
    <row r="982" spans="1:15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46"/>
        <v>Oregon</v>
      </c>
      <c r="N982" t="str">
        <f t="shared" si="48"/>
        <v>M</v>
      </c>
      <c r="O982" t="str">
        <f t="shared" si="47"/>
        <v>Doctor</v>
      </c>
    </row>
    <row r="983" spans="1:15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46"/>
        <v>Arizona</v>
      </c>
      <c r="N983" t="str">
        <f t="shared" si="48"/>
        <v>F</v>
      </c>
      <c r="O983" t="str">
        <f t="shared" si="47"/>
        <v>High School or Below</v>
      </c>
    </row>
    <row r="984" spans="1:15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46"/>
        <v>California</v>
      </c>
      <c r="N984" t="str">
        <f t="shared" si="48"/>
        <v>M</v>
      </c>
      <c r="O984" t="str">
        <f t="shared" si="47"/>
        <v>Bachelor</v>
      </c>
    </row>
    <row r="985" spans="1:15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46"/>
        <v>California</v>
      </c>
      <c r="N985" t="str">
        <f t="shared" si="48"/>
        <v>F</v>
      </c>
      <c r="O985" t="str">
        <f t="shared" si="47"/>
        <v>College</v>
      </c>
    </row>
    <row r="986" spans="1:15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46"/>
        <v>California</v>
      </c>
      <c r="N986" t="str">
        <f t="shared" si="48"/>
        <v>M</v>
      </c>
      <c r="O986" t="str">
        <f t="shared" si="47"/>
        <v>Bachelor</v>
      </c>
    </row>
    <row r="987" spans="1:15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46"/>
        <v>Oregon</v>
      </c>
      <c r="N987" t="str">
        <f t="shared" si="48"/>
        <v>M</v>
      </c>
      <c r="O987" t="str">
        <f t="shared" si="47"/>
        <v>High School or Below</v>
      </c>
    </row>
    <row r="988" spans="1:15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46"/>
        <v>Arizona</v>
      </c>
      <c r="N988" t="str">
        <f t="shared" si="48"/>
        <v>M</v>
      </c>
      <c r="O988" t="str">
        <f t="shared" si="47"/>
        <v>Bachelor</v>
      </c>
    </row>
    <row r="989" spans="1:15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46"/>
        <v>Oregon</v>
      </c>
      <c r="N989" t="str">
        <f t="shared" si="48"/>
        <v>F</v>
      </c>
      <c r="O989" t="str">
        <f t="shared" si="47"/>
        <v>College</v>
      </c>
    </row>
    <row r="990" spans="1:15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46"/>
        <v>Washington</v>
      </c>
      <c r="N990" t="str">
        <f t="shared" si="48"/>
        <v>M</v>
      </c>
      <c r="O990" t="str">
        <f t="shared" si="47"/>
        <v>High School or Below</v>
      </c>
    </row>
    <row r="991" spans="1:15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46"/>
        <v>Nevada</v>
      </c>
      <c r="N991" t="str">
        <f t="shared" si="48"/>
        <v>F</v>
      </c>
      <c r="O991" t="str">
        <f t="shared" si="47"/>
        <v>College</v>
      </c>
    </row>
    <row r="992" spans="1:15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46"/>
        <v>Arizona</v>
      </c>
      <c r="N992" t="str">
        <f t="shared" si="48"/>
        <v>F</v>
      </c>
      <c r="O992" t="str">
        <f t="shared" si="47"/>
        <v>Master</v>
      </c>
    </row>
    <row r="993" spans="1:15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46"/>
        <v>Oregon</v>
      </c>
      <c r="N993" t="str">
        <f t="shared" si="48"/>
        <v>F</v>
      </c>
      <c r="O993" t="str">
        <f t="shared" si="47"/>
        <v>High School or Below</v>
      </c>
    </row>
    <row r="994" spans="1:15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46"/>
        <v>Arizona</v>
      </c>
      <c r="N994" t="str">
        <f t="shared" si="48"/>
        <v>M</v>
      </c>
      <c r="O994" t="str">
        <f t="shared" si="47"/>
        <v>Bachelor</v>
      </c>
    </row>
    <row r="995" spans="1:15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46"/>
        <v>Arizona</v>
      </c>
      <c r="N995" t="str">
        <f t="shared" si="48"/>
        <v>M</v>
      </c>
      <c r="O995" t="str">
        <f t="shared" si="47"/>
        <v>Doctor</v>
      </c>
    </row>
    <row r="996" spans="1:15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46"/>
        <v>California</v>
      </c>
      <c r="N996" t="str">
        <f t="shared" si="48"/>
        <v>F</v>
      </c>
      <c r="O996" t="str">
        <f t="shared" si="47"/>
        <v>Bachelor</v>
      </c>
    </row>
    <row r="997" spans="1:15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46"/>
        <v>Oregon</v>
      </c>
      <c r="N997" t="str">
        <f t="shared" si="48"/>
        <v>F</v>
      </c>
      <c r="O997" t="str">
        <f t="shared" si="47"/>
        <v>High School or Below</v>
      </c>
    </row>
    <row r="998" spans="1:15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46"/>
        <v>Oregon</v>
      </c>
      <c r="N998" t="str">
        <f t="shared" si="48"/>
        <v>F</v>
      </c>
      <c r="O998" t="str">
        <f t="shared" si="47"/>
        <v>Master</v>
      </c>
    </row>
    <row r="999" spans="1:15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46"/>
        <v>Arizona</v>
      </c>
      <c r="N999" t="str">
        <f t="shared" si="48"/>
        <v>F</v>
      </c>
      <c r="O999" t="str">
        <f t="shared" si="47"/>
        <v>College</v>
      </c>
    </row>
    <row r="1000" spans="1:15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46"/>
        <v>Oregon</v>
      </c>
      <c r="N1000" t="str">
        <f t="shared" si="48"/>
        <v>M</v>
      </c>
      <c r="O1000" t="str">
        <f t="shared" si="47"/>
        <v>Bachelor</v>
      </c>
    </row>
    <row r="1001" spans="1:15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46"/>
        <v>California</v>
      </c>
      <c r="N1001" t="str">
        <f t="shared" si="48"/>
        <v>M</v>
      </c>
      <c r="O1001" t="str">
        <f t="shared" si="47"/>
        <v>Doctor</v>
      </c>
    </row>
    <row r="1002" spans="1:15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46"/>
        <v>Oregon</v>
      </c>
      <c r="N1002" t="str">
        <f t="shared" si="48"/>
        <v>M</v>
      </c>
      <c r="O1002" t="str">
        <f t="shared" si="47"/>
        <v>Bachelor</v>
      </c>
    </row>
    <row r="1003" spans="1:15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46"/>
        <v>California</v>
      </c>
      <c r="N1003" t="str">
        <f t="shared" si="48"/>
        <v>F</v>
      </c>
      <c r="O1003" t="str">
        <f t="shared" si="47"/>
        <v>High School or Below</v>
      </c>
    </row>
    <row r="1004" spans="1:15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46"/>
        <v>Oregon</v>
      </c>
      <c r="N1004" t="str">
        <f t="shared" si="48"/>
        <v>M</v>
      </c>
      <c r="O1004" t="str">
        <f t="shared" si="47"/>
        <v>College</v>
      </c>
    </row>
    <row r="1005" spans="1:15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46"/>
        <v>Nevada</v>
      </c>
      <c r="N1005" t="str">
        <f t="shared" si="48"/>
        <v>M</v>
      </c>
      <c r="O1005" t="str">
        <f t="shared" si="47"/>
        <v>Bachelor</v>
      </c>
    </row>
    <row r="1006" spans="1:15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46"/>
        <v>Arizona</v>
      </c>
      <c r="N1006" t="str">
        <f t="shared" si="48"/>
        <v>M</v>
      </c>
      <c r="O1006" t="str">
        <f t="shared" si="47"/>
        <v>High School or Below</v>
      </c>
    </row>
    <row r="1007" spans="1:15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46"/>
        <v>California</v>
      </c>
      <c r="N1007" t="str">
        <f t="shared" si="48"/>
        <v>M</v>
      </c>
      <c r="O1007" t="str">
        <f t="shared" si="47"/>
        <v>Bachelor</v>
      </c>
    </row>
    <row r="1008" spans="1:15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46"/>
        <v>Nevada</v>
      </c>
      <c r="N1008" t="str">
        <f t="shared" si="48"/>
        <v>M</v>
      </c>
      <c r="O1008" t="str">
        <f t="shared" si="47"/>
        <v>High School or Below</v>
      </c>
    </row>
    <row r="1009" spans="1:15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46"/>
        <v>Arizona</v>
      </c>
      <c r="N1009" t="str">
        <f t="shared" si="48"/>
        <v>M</v>
      </c>
      <c r="O1009" t="str">
        <f t="shared" si="47"/>
        <v>College</v>
      </c>
    </row>
    <row r="1010" spans="1:15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46"/>
        <v>Nevada</v>
      </c>
      <c r="N1010" t="str">
        <f t="shared" si="48"/>
        <v>F</v>
      </c>
      <c r="O1010" t="str">
        <f t="shared" si="47"/>
        <v>College</v>
      </c>
    </row>
    <row r="1011" spans="1:15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46"/>
        <v>Oregon</v>
      </c>
      <c r="N1011" t="str">
        <f t="shared" si="48"/>
        <v>M</v>
      </c>
      <c r="O1011" t="str">
        <f t="shared" si="47"/>
        <v>Bachelor</v>
      </c>
    </row>
    <row r="1012" spans="1:15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46"/>
        <v>California</v>
      </c>
      <c r="N1012" t="str">
        <f t="shared" si="48"/>
        <v>F</v>
      </c>
      <c r="O1012" t="str">
        <f t="shared" si="47"/>
        <v>College</v>
      </c>
    </row>
    <row r="1013" spans="1:15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46"/>
        <v>Oregon</v>
      </c>
      <c r="N1013" t="str">
        <f t="shared" si="48"/>
        <v>F</v>
      </c>
      <c r="O1013" t="str">
        <f t="shared" si="47"/>
        <v>Doctor</v>
      </c>
    </row>
    <row r="1014" spans="1:15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46"/>
        <v>Arizona</v>
      </c>
      <c r="N1014" t="str">
        <f t="shared" si="48"/>
        <v>M</v>
      </c>
      <c r="O1014" t="str">
        <f t="shared" si="47"/>
        <v>High School or Below</v>
      </c>
    </row>
    <row r="1015" spans="1:15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46"/>
        <v>California</v>
      </c>
      <c r="N1015" t="str">
        <f t="shared" si="48"/>
        <v>F</v>
      </c>
      <c r="O1015" t="str">
        <f t="shared" si="47"/>
        <v>Bachelor</v>
      </c>
    </row>
    <row r="1016" spans="1:15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46"/>
        <v>Oregon</v>
      </c>
      <c r="N1016" t="str">
        <f t="shared" si="48"/>
        <v>F</v>
      </c>
      <c r="O1016" t="str">
        <f t="shared" si="47"/>
        <v>Bachelor</v>
      </c>
    </row>
    <row r="1017" spans="1:15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46"/>
        <v>Oregon</v>
      </c>
      <c r="N1017" t="str">
        <f t="shared" si="48"/>
        <v>F</v>
      </c>
      <c r="O1017" t="str">
        <f t="shared" si="47"/>
        <v>College</v>
      </c>
    </row>
    <row r="1018" spans="1:15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46"/>
        <v>California</v>
      </c>
      <c r="N1018" t="str">
        <f t="shared" si="48"/>
        <v>M</v>
      </c>
      <c r="O1018" t="str">
        <f t="shared" si="47"/>
        <v>Bachelor</v>
      </c>
    </row>
    <row r="1019" spans="1:15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46"/>
        <v>California</v>
      </c>
      <c r="N1019" t="str">
        <f t="shared" si="48"/>
        <v>M</v>
      </c>
      <c r="O1019" t="str">
        <f t="shared" si="47"/>
        <v>College</v>
      </c>
    </row>
    <row r="1020" spans="1:15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46"/>
        <v>California</v>
      </c>
      <c r="N1020" t="str">
        <f t="shared" si="48"/>
        <v>M</v>
      </c>
      <c r="O1020" t="str">
        <f t="shared" si="47"/>
        <v>High School or Below</v>
      </c>
    </row>
    <row r="1021" spans="1:15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46"/>
        <v>California</v>
      </c>
      <c r="N1021" t="str">
        <f t="shared" si="48"/>
        <v>M</v>
      </c>
      <c r="O1021" t="str">
        <f t="shared" si="47"/>
        <v>Bachelor</v>
      </c>
    </row>
    <row r="1022" spans="1:15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46"/>
        <v>Oregon</v>
      </c>
      <c r="N1022" t="str">
        <f t="shared" si="48"/>
        <v>M</v>
      </c>
      <c r="O1022" t="str">
        <f t="shared" si="47"/>
        <v>College</v>
      </c>
    </row>
    <row r="1023" spans="1:15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46"/>
        <v>California</v>
      </c>
      <c r="N1023" t="str">
        <f t="shared" si="48"/>
        <v>M</v>
      </c>
      <c r="O1023" t="str">
        <f t="shared" si="47"/>
        <v>High School or Below</v>
      </c>
    </row>
    <row r="1024" spans="1:15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46"/>
        <v>California</v>
      </c>
      <c r="N1024" t="str">
        <f t="shared" si="48"/>
        <v>M</v>
      </c>
      <c r="O1024" t="str">
        <f t="shared" si="47"/>
        <v>College</v>
      </c>
    </row>
    <row r="1025" spans="1:15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46"/>
        <v>California</v>
      </c>
      <c r="N1025" t="str">
        <f t="shared" si="48"/>
        <v>F</v>
      </c>
      <c r="O1025" t="str">
        <f t="shared" si="47"/>
        <v>High School or Below</v>
      </c>
    </row>
    <row r="1026" spans="1:15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46"/>
        <v>Arizona</v>
      </c>
      <c r="N1026" t="str">
        <f t="shared" si="48"/>
        <v>M</v>
      </c>
      <c r="O1026" t="str">
        <f t="shared" si="47"/>
        <v>Bachelor</v>
      </c>
    </row>
    <row r="1027" spans="1:15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49">IF(B1027="Cali","California",IF(B1027="AZ","Arizona",IF(B1027="WA","Washington",B1027)))</f>
        <v>Oregon</v>
      </c>
      <c r="N1027" t="str">
        <f t="shared" si="48"/>
        <v>M</v>
      </c>
      <c r="O1027" t="str">
        <f t="shared" ref="O1027:O1072" si="50">IF(D1027="Bachelors","Bachelor",D1027)</f>
        <v>Bachelor</v>
      </c>
    </row>
    <row r="1028" spans="1:15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49"/>
        <v>Nevada</v>
      </c>
      <c r="N1028" t="str">
        <f t="shared" si="48"/>
        <v>F</v>
      </c>
      <c r="O1028" t="str">
        <f t="shared" si="50"/>
        <v>Bachelor</v>
      </c>
    </row>
    <row r="1029" spans="1:15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49"/>
        <v>Oregon</v>
      </c>
      <c r="N1029" t="str">
        <f t="shared" si="48"/>
        <v>F</v>
      </c>
      <c r="O1029" t="str">
        <f t="shared" si="50"/>
        <v>College</v>
      </c>
    </row>
    <row r="1030" spans="1:15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49"/>
        <v>Washington</v>
      </c>
      <c r="N1030" t="str">
        <f t="shared" si="48"/>
        <v>F</v>
      </c>
      <c r="O1030" t="str">
        <f t="shared" si="50"/>
        <v>High School or Below</v>
      </c>
    </row>
    <row r="1031" spans="1:15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49"/>
        <v>California</v>
      </c>
      <c r="N1031" t="str">
        <f t="shared" si="48"/>
        <v>F</v>
      </c>
      <c r="O1031" t="str">
        <f t="shared" si="50"/>
        <v>High School or Below</v>
      </c>
    </row>
    <row r="1032" spans="1:15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49"/>
        <v>Oregon</v>
      </c>
      <c r="N1032" t="str">
        <f t="shared" si="48"/>
        <v>F</v>
      </c>
      <c r="O1032" t="str">
        <f t="shared" si="50"/>
        <v>High School or Below</v>
      </c>
    </row>
    <row r="1033" spans="1:15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49"/>
        <v>California</v>
      </c>
      <c r="N1033" t="str">
        <f t="shared" ref="N1033:N1072" si="51">IF(OR(C1033="F",C1033="female",C1033="Femal"),"F",IF(OR(C1033="M",C1033="male",C1033="Male"),"M",C1033))</f>
        <v>M</v>
      </c>
      <c r="O1033" t="str">
        <f t="shared" si="50"/>
        <v>Bachelor</v>
      </c>
    </row>
    <row r="1034" spans="1:15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49"/>
        <v>Oregon</v>
      </c>
      <c r="N1034" t="str">
        <f t="shared" si="51"/>
        <v>F</v>
      </c>
      <c r="O1034" t="str">
        <f t="shared" si="50"/>
        <v>College</v>
      </c>
    </row>
    <row r="1035" spans="1:15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49"/>
        <v>Oregon</v>
      </c>
      <c r="N1035" t="str">
        <f t="shared" si="51"/>
        <v>F</v>
      </c>
      <c r="O1035" t="str">
        <f t="shared" si="50"/>
        <v>College</v>
      </c>
    </row>
    <row r="1036" spans="1:15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49"/>
        <v>Oregon</v>
      </c>
      <c r="N1036" t="str">
        <f t="shared" si="51"/>
        <v>F</v>
      </c>
      <c r="O1036" t="str">
        <f t="shared" si="50"/>
        <v>Bachelor</v>
      </c>
    </row>
    <row r="1037" spans="1:15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49"/>
        <v>Washington</v>
      </c>
      <c r="N1037" t="str">
        <f t="shared" si="51"/>
        <v>F</v>
      </c>
      <c r="O1037" t="str">
        <f t="shared" si="50"/>
        <v>Master</v>
      </c>
    </row>
    <row r="1038" spans="1:15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49"/>
        <v>California</v>
      </c>
      <c r="N1038" t="str">
        <f t="shared" si="51"/>
        <v>F</v>
      </c>
      <c r="O1038" t="str">
        <f t="shared" si="50"/>
        <v>Bachelor</v>
      </c>
    </row>
    <row r="1039" spans="1:15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49"/>
        <v>Nevada</v>
      </c>
      <c r="N1039" t="str">
        <f t="shared" si="51"/>
        <v>F</v>
      </c>
      <c r="O1039" t="str">
        <f t="shared" si="50"/>
        <v>High School or Below</v>
      </c>
    </row>
    <row r="1040" spans="1:15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49"/>
        <v>California</v>
      </c>
      <c r="N1040" t="str">
        <f t="shared" si="51"/>
        <v>F</v>
      </c>
      <c r="O1040" t="str">
        <f t="shared" si="50"/>
        <v>Bachelor</v>
      </c>
    </row>
    <row r="1041" spans="1:15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49"/>
        <v>California</v>
      </c>
      <c r="N1041" t="str">
        <f t="shared" si="51"/>
        <v>F</v>
      </c>
      <c r="O1041" t="str">
        <f t="shared" si="50"/>
        <v>High School or Below</v>
      </c>
    </row>
    <row r="1042" spans="1:15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49"/>
        <v>Oregon</v>
      </c>
      <c r="N1042" t="str">
        <f t="shared" si="51"/>
        <v>M</v>
      </c>
      <c r="O1042" t="str">
        <f t="shared" si="50"/>
        <v>Bachelor</v>
      </c>
    </row>
    <row r="1043" spans="1:15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49"/>
        <v>Washington</v>
      </c>
      <c r="N1043" t="str">
        <f t="shared" si="51"/>
        <v>F</v>
      </c>
      <c r="O1043" t="str">
        <f t="shared" si="50"/>
        <v>Bachelor</v>
      </c>
    </row>
    <row r="1044" spans="1:15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49"/>
        <v>Arizona</v>
      </c>
      <c r="N1044" t="str">
        <f t="shared" si="51"/>
        <v>F</v>
      </c>
      <c r="O1044" t="str">
        <f t="shared" si="50"/>
        <v>High School or Below</v>
      </c>
    </row>
    <row r="1045" spans="1:15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49"/>
        <v>Arizona</v>
      </c>
      <c r="N1045" t="str">
        <f t="shared" si="51"/>
        <v>F</v>
      </c>
      <c r="O1045" t="str">
        <f t="shared" si="50"/>
        <v>High School or Below</v>
      </c>
    </row>
    <row r="1046" spans="1:15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49"/>
        <v>Arizona</v>
      </c>
      <c r="N1046" t="str">
        <f t="shared" si="51"/>
        <v>M</v>
      </c>
      <c r="O1046" t="str">
        <f t="shared" si="50"/>
        <v>College</v>
      </c>
    </row>
    <row r="1047" spans="1:15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49"/>
        <v>Oregon</v>
      </c>
      <c r="N1047" t="str">
        <f t="shared" si="51"/>
        <v>F</v>
      </c>
      <c r="O1047" t="str">
        <f t="shared" si="50"/>
        <v>Bachelor</v>
      </c>
    </row>
    <row r="1048" spans="1:15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49"/>
        <v>Oregon</v>
      </c>
      <c r="N1048" t="str">
        <f t="shared" si="51"/>
        <v>F</v>
      </c>
      <c r="O1048" t="str">
        <f t="shared" si="50"/>
        <v>College</v>
      </c>
    </row>
    <row r="1049" spans="1:15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49"/>
        <v>Oregon</v>
      </c>
      <c r="N1049" t="str">
        <f t="shared" si="51"/>
        <v>F</v>
      </c>
      <c r="O1049" t="str">
        <f t="shared" si="50"/>
        <v>High School or Below</v>
      </c>
    </row>
    <row r="1050" spans="1:15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49"/>
        <v>Arizona</v>
      </c>
      <c r="N1050" t="str">
        <f t="shared" si="51"/>
        <v>F</v>
      </c>
      <c r="O1050" t="str">
        <f t="shared" si="50"/>
        <v>College</v>
      </c>
    </row>
    <row r="1051" spans="1:15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49"/>
        <v>California</v>
      </c>
      <c r="N1051" t="str">
        <f t="shared" si="51"/>
        <v>F</v>
      </c>
      <c r="O1051" t="str">
        <f t="shared" si="50"/>
        <v>High School or Below</v>
      </c>
    </row>
    <row r="1052" spans="1:15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49"/>
        <v>Arizona</v>
      </c>
      <c r="N1052" t="str">
        <f t="shared" si="51"/>
        <v>M</v>
      </c>
      <c r="O1052" t="str">
        <f t="shared" si="50"/>
        <v>High School or Below</v>
      </c>
    </row>
    <row r="1053" spans="1:15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49"/>
        <v>Oregon</v>
      </c>
      <c r="N1053" t="str">
        <f t="shared" si="51"/>
        <v>F</v>
      </c>
      <c r="O1053" t="str">
        <f t="shared" si="50"/>
        <v>Bachelor</v>
      </c>
    </row>
    <row r="1054" spans="1:15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49"/>
        <v>Oregon</v>
      </c>
      <c r="N1054" t="str">
        <f t="shared" si="51"/>
        <v>M</v>
      </c>
      <c r="O1054" t="str">
        <f t="shared" si="50"/>
        <v>High School or Below</v>
      </c>
    </row>
    <row r="1055" spans="1:15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49"/>
        <v>Nevada</v>
      </c>
      <c r="N1055" t="str">
        <f t="shared" si="51"/>
        <v>F</v>
      </c>
      <c r="O1055" t="str">
        <f t="shared" si="50"/>
        <v>Bachelor</v>
      </c>
    </row>
    <row r="1056" spans="1:15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49"/>
        <v>Washington</v>
      </c>
      <c r="N1056" t="str">
        <f t="shared" si="51"/>
        <v>F</v>
      </c>
      <c r="O1056" t="str">
        <f t="shared" si="50"/>
        <v>Bachelor</v>
      </c>
    </row>
    <row r="1057" spans="1:15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49"/>
        <v>Oregon</v>
      </c>
      <c r="N1057" t="str">
        <f t="shared" si="51"/>
        <v>M</v>
      </c>
      <c r="O1057" t="str">
        <f t="shared" si="50"/>
        <v>High School or Below</v>
      </c>
    </row>
    <row r="1058" spans="1:15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49"/>
        <v>Oregon</v>
      </c>
      <c r="N1058" t="str">
        <f t="shared" si="51"/>
        <v>F</v>
      </c>
      <c r="O1058" t="str">
        <f t="shared" si="50"/>
        <v>Bachelor</v>
      </c>
    </row>
    <row r="1059" spans="1:15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49"/>
        <v>California</v>
      </c>
      <c r="N1059" t="str">
        <f t="shared" si="51"/>
        <v>M</v>
      </c>
      <c r="O1059" t="str">
        <f t="shared" si="50"/>
        <v>College</v>
      </c>
    </row>
    <row r="1060" spans="1:15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49"/>
        <v>Oregon</v>
      </c>
      <c r="N1060" t="str">
        <f t="shared" si="51"/>
        <v>M</v>
      </c>
      <c r="O1060" t="str">
        <f t="shared" si="50"/>
        <v>High School or Below</v>
      </c>
    </row>
    <row r="1061" spans="1:15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49"/>
        <v>Oregon</v>
      </c>
      <c r="N1061" t="str">
        <f t="shared" si="51"/>
        <v>M</v>
      </c>
      <c r="O1061" t="str">
        <f t="shared" si="50"/>
        <v>College</v>
      </c>
    </row>
    <row r="1062" spans="1:15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49"/>
        <v>Oregon</v>
      </c>
      <c r="N1062" t="str">
        <f t="shared" si="51"/>
        <v>M</v>
      </c>
      <c r="O1062" t="str">
        <f t="shared" si="50"/>
        <v>College</v>
      </c>
    </row>
    <row r="1063" spans="1:15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49"/>
        <v>California</v>
      </c>
      <c r="N1063" t="str">
        <f t="shared" si="51"/>
        <v>F</v>
      </c>
      <c r="O1063" t="str">
        <f t="shared" si="50"/>
        <v>Bachelor</v>
      </c>
    </row>
    <row r="1064" spans="1:15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49"/>
        <v>Arizona</v>
      </c>
      <c r="N1064" t="str">
        <f t="shared" si="51"/>
        <v>F</v>
      </c>
      <c r="O1064" t="str">
        <f t="shared" si="50"/>
        <v>High School or Below</v>
      </c>
    </row>
    <row r="1065" spans="1:15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49"/>
        <v>California</v>
      </c>
      <c r="N1065" t="str">
        <f t="shared" si="51"/>
        <v>M</v>
      </c>
      <c r="O1065" t="str">
        <f t="shared" si="50"/>
        <v>College</v>
      </c>
    </row>
    <row r="1066" spans="1:15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49"/>
        <v>Washington</v>
      </c>
      <c r="N1066" t="str">
        <f t="shared" si="51"/>
        <v>F</v>
      </c>
      <c r="O1066" t="str">
        <f t="shared" si="50"/>
        <v>Bachelor</v>
      </c>
    </row>
    <row r="1067" spans="1:15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49"/>
        <v>California</v>
      </c>
      <c r="N1067" t="str">
        <f t="shared" si="51"/>
        <v>M</v>
      </c>
      <c r="O1067" t="str">
        <f t="shared" si="50"/>
        <v>Bachelor</v>
      </c>
    </row>
    <row r="1068" spans="1:15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49"/>
        <v>Oregon</v>
      </c>
      <c r="N1068" t="str">
        <f t="shared" si="51"/>
        <v>M</v>
      </c>
      <c r="O1068" t="str">
        <f t="shared" si="50"/>
        <v>Master</v>
      </c>
    </row>
    <row r="1069" spans="1:15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49"/>
        <v>California</v>
      </c>
      <c r="N1069" t="str">
        <f t="shared" si="51"/>
        <v>F</v>
      </c>
      <c r="O1069" t="str">
        <f t="shared" si="50"/>
        <v>High School or Below</v>
      </c>
    </row>
    <row r="1070" spans="1:15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49"/>
        <v>Arizona</v>
      </c>
      <c r="N1070" t="str">
        <f t="shared" si="51"/>
        <v>F</v>
      </c>
      <c r="O1070" t="str">
        <f t="shared" si="50"/>
        <v>Bachelor</v>
      </c>
    </row>
    <row r="1071" spans="1:15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49"/>
        <v>California</v>
      </c>
      <c r="N1071" t="str">
        <f t="shared" si="51"/>
        <v>F</v>
      </c>
      <c r="O1071" t="str">
        <f t="shared" si="50"/>
        <v>Master</v>
      </c>
    </row>
    <row r="1072" spans="1:15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49"/>
        <v>California</v>
      </c>
      <c r="N1072" t="str">
        <f t="shared" si="51"/>
        <v>F</v>
      </c>
      <c r="O1072" t="str">
        <f t="shared" si="50"/>
        <v>College</v>
      </c>
    </row>
  </sheetData>
  <autoFilter ref="A1:O1072" xr:uid="{3509AF15-976F-4FCD-9F65-3ECA38D457A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zoomScale="80" zoomScaleNormal="80" workbookViewId="0">
      <selection activeCell="K1" sqref="K1:K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style="4" bestFit="1" customWidth="1"/>
    <col min="6" max="6" width="8.6328125" style="4" bestFit="1" customWidth="1"/>
    <col min="7" max="7" width="21.6328125" style="4" bestFit="1" customWidth="1"/>
    <col min="8" max="8" width="26.08984375" style="4" bestFit="1" customWidth="1"/>
    <col min="9" max="9" width="14.36328125" bestFit="1" customWidth="1"/>
    <col min="10" max="10" width="13" bestFit="1" customWidth="1"/>
    <col min="11" max="11" width="18.1796875" style="4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t="s">
        <v>8</v>
      </c>
      <c r="J1" t="s">
        <v>9</v>
      </c>
      <c r="K1" s="4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5"/>
      <c r="F2" s="4">
        <v>0</v>
      </c>
      <c r="G2" s="4">
        <v>1000</v>
      </c>
      <c r="H2" s="4">
        <v>0</v>
      </c>
      <c r="I2" t="s">
        <v>16</v>
      </c>
      <c r="J2" t="s">
        <v>17</v>
      </c>
      <c r="K2" s="4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5">
        <v>697953.59</v>
      </c>
      <c r="F3" s="4">
        <v>0</v>
      </c>
      <c r="G3" s="4">
        <v>94</v>
      </c>
      <c r="H3" s="4">
        <v>0</v>
      </c>
      <c r="I3" t="s">
        <v>16</v>
      </c>
      <c r="J3" t="s">
        <v>17</v>
      </c>
      <c r="K3" s="4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5">
        <v>1288743.17</v>
      </c>
      <c r="F4" s="4">
        <v>48767</v>
      </c>
      <c r="G4" s="4">
        <v>108</v>
      </c>
      <c r="H4" s="4">
        <v>0</v>
      </c>
      <c r="I4" t="s">
        <v>16</v>
      </c>
      <c r="J4" t="s">
        <v>24</v>
      </c>
      <c r="K4" s="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5">
        <v>764586.18</v>
      </c>
      <c r="F5" s="4">
        <v>0</v>
      </c>
      <c r="G5" s="4">
        <v>106</v>
      </c>
      <c r="H5" s="4">
        <v>0</v>
      </c>
      <c r="I5" t="s">
        <v>28</v>
      </c>
      <c r="J5" t="s">
        <v>29</v>
      </c>
      <c r="K5" s="4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5">
        <v>536307.65</v>
      </c>
      <c r="F6" s="4">
        <v>36357</v>
      </c>
      <c r="G6" s="4">
        <v>68</v>
      </c>
      <c r="H6" s="4">
        <v>0</v>
      </c>
      <c r="I6" t="s">
        <v>16</v>
      </c>
      <c r="J6" t="s">
        <v>17</v>
      </c>
      <c r="K6" s="4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5">
        <v>825629.78</v>
      </c>
      <c r="F7" s="4">
        <v>62902</v>
      </c>
      <c r="G7" s="4">
        <v>69</v>
      </c>
      <c r="H7" s="4">
        <v>0</v>
      </c>
      <c r="I7" t="s">
        <v>16</v>
      </c>
      <c r="J7" t="s">
        <v>24</v>
      </c>
      <c r="K7" s="4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5">
        <v>538089.86</v>
      </c>
      <c r="F8" s="4">
        <v>55350</v>
      </c>
      <c r="G8" s="4">
        <v>67</v>
      </c>
      <c r="H8" s="4">
        <v>0</v>
      </c>
      <c r="I8" t="s">
        <v>28</v>
      </c>
      <c r="J8" t="s">
        <v>17</v>
      </c>
      <c r="K8" s="4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5">
        <v>721610.03</v>
      </c>
      <c r="F9" s="4">
        <v>0</v>
      </c>
      <c r="G9" s="4">
        <v>101</v>
      </c>
      <c r="H9" s="4">
        <v>0</v>
      </c>
      <c r="I9" t="s">
        <v>28</v>
      </c>
      <c r="J9" t="s">
        <v>17</v>
      </c>
      <c r="K9" s="4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5">
        <v>2412750.4</v>
      </c>
      <c r="F10" s="4">
        <v>14072</v>
      </c>
      <c r="G10" s="4">
        <v>71</v>
      </c>
      <c r="H10" s="4">
        <v>0</v>
      </c>
      <c r="I10" t="s">
        <v>28</v>
      </c>
      <c r="J10" t="s">
        <v>17</v>
      </c>
      <c r="K10" s="4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5">
        <v>738817.81</v>
      </c>
      <c r="F11" s="4">
        <v>28812</v>
      </c>
      <c r="G11" s="4">
        <v>93</v>
      </c>
      <c r="H11" s="4">
        <v>0</v>
      </c>
      <c r="I11" t="s">
        <v>39</v>
      </c>
      <c r="J11" t="s">
        <v>17</v>
      </c>
      <c r="K11" s="4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 s="4">
        <v>0</v>
      </c>
      <c r="G12" s="4">
        <v>67</v>
      </c>
      <c r="H12" s="4">
        <v>0</v>
      </c>
      <c r="I12" t="s">
        <v>16</v>
      </c>
      <c r="J12" t="s">
        <v>17</v>
      </c>
      <c r="K12" s="4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5">
        <v>819719.71</v>
      </c>
      <c r="F13" s="4">
        <v>0</v>
      </c>
      <c r="G13" s="4">
        <v>110</v>
      </c>
      <c r="H13" s="4">
        <v>0</v>
      </c>
      <c r="I13" t="s">
        <v>16</v>
      </c>
      <c r="J13" t="s">
        <v>29</v>
      </c>
      <c r="K13" s="4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5">
        <v>879879.7</v>
      </c>
      <c r="F14" s="4">
        <v>77026</v>
      </c>
      <c r="G14" s="4">
        <v>110</v>
      </c>
      <c r="H14" s="4">
        <v>36557</v>
      </c>
      <c r="I14" t="s">
        <v>28</v>
      </c>
      <c r="J14" t="s">
        <v>17</v>
      </c>
      <c r="K14" s="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5">
        <v>881901.89</v>
      </c>
      <c r="F15" s="4">
        <v>99845</v>
      </c>
      <c r="G15" s="4">
        <v>110</v>
      </c>
      <c r="H15" s="4">
        <v>36526</v>
      </c>
      <c r="I15" t="s">
        <v>28</v>
      </c>
      <c r="J15" t="s">
        <v>29</v>
      </c>
      <c r="K15" s="4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5">
        <v>538443.17000000004</v>
      </c>
      <c r="F16" s="4">
        <v>83689</v>
      </c>
      <c r="G16" s="4">
        <v>70</v>
      </c>
      <c r="H16" s="4">
        <v>36557</v>
      </c>
      <c r="I16" t="s">
        <v>28</v>
      </c>
      <c r="J16" t="s">
        <v>17</v>
      </c>
      <c r="K16" s="4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5">
        <v>746313.94</v>
      </c>
      <c r="F17" s="4">
        <v>24599</v>
      </c>
      <c r="G17" s="4">
        <v>64</v>
      </c>
      <c r="H17" s="4">
        <v>36526</v>
      </c>
      <c r="I17" t="s">
        <v>28</v>
      </c>
      <c r="J17" t="s">
        <v>17</v>
      </c>
      <c r="K17" s="4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5">
        <v>256686.78</v>
      </c>
      <c r="F18" s="4">
        <v>25049</v>
      </c>
      <c r="G18" s="4">
        <v>67</v>
      </c>
      <c r="H18" s="4">
        <v>0</v>
      </c>
      <c r="I18" t="s">
        <v>16</v>
      </c>
      <c r="J18" t="s">
        <v>24</v>
      </c>
      <c r="K18" s="4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5">
        <v>394524.15999999997</v>
      </c>
      <c r="F19" s="4">
        <v>28855</v>
      </c>
      <c r="G19" s="4">
        <v>101</v>
      </c>
      <c r="H19" s="4">
        <v>0</v>
      </c>
      <c r="I19" t="s">
        <v>16</v>
      </c>
      <c r="J19" t="s">
        <v>29</v>
      </c>
      <c r="K19" s="4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5">
        <v>571033.31000000006</v>
      </c>
      <c r="F20" s="4">
        <v>51148</v>
      </c>
      <c r="G20" s="4">
        <v>72</v>
      </c>
      <c r="H20" s="4">
        <v>0</v>
      </c>
      <c r="I20" t="s">
        <v>16</v>
      </c>
      <c r="J20" t="s">
        <v>17</v>
      </c>
      <c r="K20" s="4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5">
        <v>816261.71</v>
      </c>
      <c r="F21" s="4">
        <v>66140</v>
      </c>
      <c r="G21" s="4">
        <v>101</v>
      </c>
      <c r="H21" s="4">
        <v>0</v>
      </c>
      <c r="I21" t="s">
        <v>28</v>
      </c>
      <c r="J21" t="s">
        <v>17</v>
      </c>
      <c r="K21" s="4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5">
        <v>287205.13</v>
      </c>
      <c r="F22" s="4">
        <v>57749</v>
      </c>
      <c r="G22" s="4">
        <v>74</v>
      </c>
      <c r="H22" s="4">
        <v>0</v>
      </c>
      <c r="I22" t="s">
        <v>16</v>
      </c>
      <c r="J22" t="s">
        <v>24</v>
      </c>
      <c r="K22" s="4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5">
        <v>617710.93000000005</v>
      </c>
      <c r="F23" s="4">
        <v>61040</v>
      </c>
      <c r="G23" s="4">
        <v>79</v>
      </c>
      <c r="H23" s="4">
        <v>36526</v>
      </c>
      <c r="I23" t="s">
        <v>16</v>
      </c>
      <c r="J23" t="s">
        <v>24</v>
      </c>
      <c r="K23" s="4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5">
        <v>2412750.4</v>
      </c>
      <c r="F24" s="4">
        <v>14072</v>
      </c>
      <c r="G24" s="4">
        <v>71</v>
      </c>
      <c r="H24" s="4">
        <v>0</v>
      </c>
      <c r="I24" t="s">
        <v>16</v>
      </c>
      <c r="J24" t="s">
        <v>17</v>
      </c>
      <c r="K24" s="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5">
        <v>245019.1</v>
      </c>
      <c r="F25" s="4">
        <v>0</v>
      </c>
      <c r="G25" s="4">
        <v>73</v>
      </c>
      <c r="H25" s="4">
        <v>36586</v>
      </c>
      <c r="I25" t="s">
        <v>28</v>
      </c>
      <c r="J25" t="s">
        <v>17</v>
      </c>
      <c r="K25" s="4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5">
        <v>239210.79</v>
      </c>
      <c r="F26" s="4">
        <v>17870</v>
      </c>
      <c r="G26" s="4">
        <v>61</v>
      </c>
      <c r="H26" s="4">
        <v>0</v>
      </c>
      <c r="I26" t="s">
        <v>28</v>
      </c>
      <c r="J26" t="s">
        <v>17</v>
      </c>
      <c r="K26" s="4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5">
        <v>580206.6</v>
      </c>
      <c r="F27" s="4">
        <v>97541</v>
      </c>
      <c r="G27" s="4">
        <v>72</v>
      </c>
      <c r="H27" s="4">
        <v>0</v>
      </c>
      <c r="I27" t="s">
        <v>16</v>
      </c>
      <c r="J27" t="s">
        <v>17</v>
      </c>
      <c r="K27" s="4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5">
        <v>394637.21</v>
      </c>
      <c r="F28" s="4">
        <v>0</v>
      </c>
      <c r="G28" s="4">
        <v>111</v>
      </c>
      <c r="H28" s="4">
        <v>0</v>
      </c>
      <c r="I28" t="s">
        <v>16</v>
      </c>
      <c r="J28" t="s">
        <v>17</v>
      </c>
      <c r="K28" s="4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5">
        <v>916206.32</v>
      </c>
      <c r="F29" s="4">
        <v>29723</v>
      </c>
      <c r="G29" s="4">
        <v>80</v>
      </c>
      <c r="H29" s="4">
        <v>0</v>
      </c>
      <c r="I29" t="s">
        <v>16</v>
      </c>
      <c r="J29" t="s">
        <v>17</v>
      </c>
      <c r="K29" s="4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5">
        <v>1290256.01</v>
      </c>
      <c r="F30" s="4">
        <v>86584</v>
      </c>
      <c r="G30" s="4">
        <v>111</v>
      </c>
      <c r="H30" s="4">
        <v>36557</v>
      </c>
      <c r="I30" t="s">
        <v>16</v>
      </c>
      <c r="J30" t="s">
        <v>17</v>
      </c>
      <c r="K30" s="4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5">
        <v>323536.05</v>
      </c>
      <c r="F31" s="4">
        <v>75690</v>
      </c>
      <c r="G31" s="4">
        <v>80</v>
      </c>
      <c r="H31" s="4">
        <v>36526</v>
      </c>
      <c r="I31" t="s">
        <v>16</v>
      </c>
      <c r="J31" t="s">
        <v>17</v>
      </c>
      <c r="K31" s="4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5">
        <v>245458.35</v>
      </c>
      <c r="F32" s="4">
        <v>23158</v>
      </c>
      <c r="G32" s="4">
        <v>63</v>
      </c>
      <c r="H32" s="4">
        <v>36526</v>
      </c>
      <c r="I32" t="s">
        <v>16</v>
      </c>
      <c r="J32" t="s">
        <v>17</v>
      </c>
      <c r="K32" s="4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5">
        <v>1897545.61</v>
      </c>
      <c r="F33" s="4">
        <v>65999</v>
      </c>
      <c r="G33" s="4">
        <v>237</v>
      </c>
      <c r="H33" s="4">
        <v>0</v>
      </c>
      <c r="I33" t="s">
        <v>28</v>
      </c>
      <c r="J33" t="s">
        <v>65</v>
      </c>
      <c r="K33" s="4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5">
        <v>471532.13</v>
      </c>
      <c r="F34" s="4">
        <v>0</v>
      </c>
      <c r="G34" s="4">
        <v>65</v>
      </c>
      <c r="H34" s="4">
        <v>0</v>
      </c>
      <c r="I34" t="s">
        <v>16</v>
      </c>
      <c r="J34" t="s">
        <v>17</v>
      </c>
      <c r="K34" s="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5">
        <v>473787.17</v>
      </c>
      <c r="F35" s="4">
        <v>0</v>
      </c>
      <c r="G35" s="4">
        <v>130</v>
      </c>
      <c r="H35" s="4">
        <v>0</v>
      </c>
      <c r="I35" t="s">
        <v>16</v>
      </c>
      <c r="J35" t="s">
        <v>29</v>
      </c>
      <c r="K35" s="4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5">
        <v>493291.63</v>
      </c>
      <c r="F36" s="4">
        <v>37260</v>
      </c>
      <c r="G36" s="4">
        <v>62</v>
      </c>
      <c r="H36" s="4">
        <v>0</v>
      </c>
      <c r="I36" t="s">
        <v>28</v>
      </c>
      <c r="J36" t="s">
        <v>17</v>
      </c>
      <c r="K36" s="4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5">
        <v>574422.97</v>
      </c>
      <c r="F37" s="4">
        <v>68987</v>
      </c>
      <c r="G37" s="4">
        <v>71</v>
      </c>
      <c r="H37" s="4">
        <v>0</v>
      </c>
      <c r="I37" t="s">
        <v>16</v>
      </c>
      <c r="J37" t="s">
        <v>17</v>
      </c>
      <c r="K37" s="4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5">
        <v>1389173.57</v>
      </c>
      <c r="F38" s="4">
        <v>42305</v>
      </c>
      <c r="G38" s="4">
        <v>117</v>
      </c>
      <c r="H38" s="4">
        <v>0</v>
      </c>
      <c r="I38" t="s">
        <v>16</v>
      </c>
      <c r="J38" t="s">
        <v>17</v>
      </c>
      <c r="K38" s="4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5">
        <v>738097.67</v>
      </c>
      <c r="F39" s="4">
        <v>65706</v>
      </c>
      <c r="G39" s="4">
        <v>91</v>
      </c>
      <c r="H39" s="4">
        <v>0</v>
      </c>
      <c r="I39" t="s">
        <v>16</v>
      </c>
      <c r="J39" t="s">
        <v>17</v>
      </c>
      <c r="K39" s="4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5">
        <v>309003.40999999997</v>
      </c>
      <c r="F40" s="4">
        <v>0</v>
      </c>
      <c r="G40" s="4">
        <v>90</v>
      </c>
      <c r="H40" s="4">
        <v>0</v>
      </c>
      <c r="I40" t="s">
        <v>16</v>
      </c>
      <c r="J40" t="s">
        <v>24</v>
      </c>
      <c r="K40" s="4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5">
        <v>252163.31</v>
      </c>
      <c r="F41" s="4">
        <v>53243</v>
      </c>
      <c r="G41" s="4">
        <v>66</v>
      </c>
      <c r="H41" s="4">
        <v>36557</v>
      </c>
      <c r="I41" t="s">
        <v>16</v>
      </c>
      <c r="J41" t="s">
        <v>17</v>
      </c>
      <c r="K41" s="4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5">
        <v>265206.18</v>
      </c>
      <c r="F42" s="4">
        <v>0</v>
      </c>
      <c r="G42" s="4">
        <v>70</v>
      </c>
      <c r="H42" s="4">
        <v>36526</v>
      </c>
      <c r="I42" t="s">
        <v>28</v>
      </c>
      <c r="J42" t="s">
        <v>24</v>
      </c>
      <c r="K42" s="4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5">
        <v>277104.5</v>
      </c>
      <c r="F43" s="4">
        <v>50071</v>
      </c>
      <c r="G43" s="4">
        <v>71</v>
      </c>
      <c r="H43" s="4">
        <v>0</v>
      </c>
      <c r="I43" t="s">
        <v>28</v>
      </c>
      <c r="J43" t="s">
        <v>24</v>
      </c>
      <c r="K43" s="4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5">
        <v>393900.64</v>
      </c>
      <c r="F44" s="4">
        <v>60021</v>
      </c>
      <c r="G44" s="4">
        <v>99</v>
      </c>
      <c r="H44" s="4">
        <v>0</v>
      </c>
      <c r="I44" t="s">
        <v>16</v>
      </c>
      <c r="J44" t="s">
        <v>17</v>
      </c>
      <c r="K44" s="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5">
        <v>1223187.97</v>
      </c>
      <c r="F45" s="4">
        <v>43244</v>
      </c>
      <c r="G45" s="4">
        <v>103</v>
      </c>
      <c r="H45" s="4">
        <v>0</v>
      </c>
      <c r="I45" t="s">
        <v>16</v>
      </c>
      <c r="J45" t="s">
        <v>78</v>
      </c>
      <c r="K45" s="4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5">
        <v>495165.61</v>
      </c>
      <c r="F46" s="4">
        <v>46896</v>
      </c>
      <c r="G46" s="4">
        <v>35354</v>
      </c>
      <c r="H46" s="4">
        <v>36526</v>
      </c>
      <c r="I46" t="s">
        <v>16</v>
      </c>
      <c r="J46" t="s">
        <v>17</v>
      </c>
      <c r="K46" s="4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5">
        <v>1281910.29</v>
      </c>
      <c r="F47" s="4">
        <v>10105</v>
      </c>
      <c r="G47" s="4">
        <v>172</v>
      </c>
      <c r="H47" s="4">
        <v>36586</v>
      </c>
      <c r="I47" t="s">
        <v>16</v>
      </c>
      <c r="J47" t="s">
        <v>29</v>
      </c>
      <c r="K47" s="4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5">
        <v>446851.05</v>
      </c>
      <c r="F48" s="4">
        <v>0</v>
      </c>
      <c r="G48" s="4">
        <v>73</v>
      </c>
      <c r="H48" s="4">
        <v>36586</v>
      </c>
      <c r="I48" t="s">
        <v>16</v>
      </c>
      <c r="J48" t="s">
        <v>17</v>
      </c>
      <c r="K48" s="4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5">
        <v>551434.4</v>
      </c>
      <c r="F49" s="4">
        <v>23218</v>
      </c>
      <c r="G49" s="4">
        <v>71</v>
      </c>
      <c r="H49" s="4">
        <v>0</v>
      </c>
      <c r="I49" t="s">
        <v>16</v>
      </c>
      <c r="J49" t="s">
        <v>24</v>
      </c>
      <c r="K49" s="4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5">
        <v>334387.53000000003</v>
      </c>
      <c r="F50" s="4">
        <v>0</v>
      </c>
      <c r="G50" s="4">
        <v>92</v>
      </c>
      <c r="H50" s="4">
        <v>0</v>
      </c>
      <c r="I50" t="s">
        <v>28</v>
      </c>
      <c r="J50" t="s">
        <v>17</v>
      </c>
      <c r="K50" s="4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5">
        <v>229447.89</v>
      </c>
      <c r="F51" s="4">
        <v>0</v>
      </c>
      <c r="G51" s="4">
        <v>62</v>
      </c>
      <c r="H51" s="4">
        <v>0</v>
      </c>
      <c r="I51" t="s">
        <v>16</v>
      </c>
      <c r="J51" t="s">
        <v>17</v>
      </c>
      <c r="K51" s="4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5">
        <v>3670742.64</v>
      </c>
      <c r="F52" s="4">
        <v>24804</v>
      </c>
      <c r="G52" s="4">
        <v>104</v>
      </c>
      <c r="H52" s="4">
        <v>0</v>
      </c>
      <c r="I52" t="s">
        <v>16</v>
      </c>
      <c r="J52" t="s">
        <v>29</v>
      </c>
      <c r="K52" s="4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5">
        <v>3347334.95</v>
      </c>
      <c r="F53" s="4">
        <v>33190</v>
      </c>
      <c r="G53" s="4">
        <v>106</v>
      </c>
      <c r="H53" s="4">
        <v>0</v>
      </c>
      <c r="I53" t="s">
        <v>28</v>
      </c>
      <c r="J53" t="s">
        <v>29</v>
      </c>
      <c r="K53" s="4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5">
        <v>798343.17</v>
      </c>
      <c r="F54" s="4">
        <v>36014</v>
      </c>
      <c r="G54" s="4">
        <v>69</v>
      </c>
      <c r="H54" s="4">
        <v>36586</v>
      </c>
      <c r="I54" t="s">
        <v>39</v>
      </c>
      <c r="J54" t="s">
        <v>17</v>
      </c>
      <c r="K54" s="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5">
        <v>487938.48</v>
      </c>
      <c r="F55" s="4">
        <v>67163</v>
      </c>
      <c r="G55" s="4">
        <v>61</v>
      </c>
      <c r="H55" s="4">
        <v>36557</v>
      </c>
      <c r="I55" t="s">
        <v>16</v>
      </c>
      <c r="J55" t="s">
        <v>24</v>
      </c>
      <c r="K55" s="4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5">
        <v>429399.73</v>
      </c>
      <c r="F56" s="4">
        <v>16701</v>
      </c>
      <c r="G56" s="4">
        <v>113</v>
      </c>
      <c r="H56" s="4">
        <v>0</v>
      </c>
      <c r="I56" t="s">
        <v>16</v>
      </c>
      <c r="J56" t="s">
        <v>17</v>
      </c>
      <c r="K56" s="4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5">
        <v>716439.55</v>
      </c>
      <c r="F57" s="4">
        <v>46623</v>
      </c>
      <c r="G57" s="4">
        <v>91</v>
      </c>
      <c r="H57" s="4">
        <v>0</v>
      </c>
      <c r="I57" t="s">
        <v>28</v>
      </c>
      <c r="J57" t="s">
        <v>17</v>
      </c>
      <c r="K57" s="4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5">
        <v>761951.58</v>
      </c>
      <c r="F58" s="4">
        <v>64749</v>
      </c>
      <c r="G58" s="4">
        <v>64</v>
      </c>
      <c r="H58" s="4">
        <v>0</v>
      </c>
      <c r="I58" t="s">
        <v>39</v>
      </c>
      <c r="J58" t="s">
        <v>17</v>
      </c>
      <c r="K58" s="4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5">
        <v>395800.28</v>
      </c>
      <c r="F59" s="4">
        <v>0</v>
      </c>
      <c r="G59" s="4">
        <v>101</v>
      </c>
      <c r="H59" s="4">
        <v>0</v>
      </c>
      <c r="I59" t="s">
        <v>16</v>
      </c>
      <c r="J59" t="s">
        <v>29</v>
      </c>
      <c r="K59" s="4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5">
        <v>449949.33</v>
      </c>
      <c r="F60" s="4">
        <v>16969</v>
      </c>
      <c r="G60" s="4">
        <v>124</v>
      </c>
      <c r="H60" s="4">
        <v>36557</v>
      </c>
      <c r="I60" t="s">
        <v>16</v>
      </c>
      <c r="J60" t="s">
        <v>29</v>
      </c>
      <c r="K60" s="4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5">
        <v>405956.74</v>
      </c>
      <c r="F61" s="4">
        <v>11621</v>
      </c>
      <c r="G61" s="4">
        <v>108</v>
      </c>
      <c r="H61" s="4">
        <v>0</v>
      </c>
      <c r="I61" t="s">
        <v>16</v>
      </c>
      <c r="J61" t="s">
        <v>17</v>
      </c>
      <c r="K61" s="4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5">
        <v>445811.34</v>
      </c>
      <c r="F62" s="4">
        <v>17622</v>
      </c>
      <c r="G62" s="4">
        <v>65</v>
      </c>
      <c r="H62" s="4">
        <v>36526</v>
      </c>
      <c r="I62" t="s">
        <v>16</v>
      </c>
      <c r="J62" t="s">
        <v>17</v>
      </c>
      <c r="K62" s="4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5">
        <v>811033.31</v>
      </c>
      <c r="F63" s="4">
        <v>11489</v>
      </c>
      <c r="G63" s="4">
        <v>105</v>
      </c>
      <c r="H63" s="4">
        <v>0</v>
      </c>
      <c r="I63" t="s">
        <v>16</v>
      </c>
      <c r="J63" t="s">
        <v>24</v>
      </c>
      <c r="K63" s="4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5">
        <v>333976.49</v>
      </c>
      <c r="F64" s="4">
        <v>0</v>
      </c>
      <c r="G64" s="4">
        <v>94</v>
      </c>
      <c r="H64" s="4">
        <v>0</v>
      </c>
      <c r="I64" t="s">
        <v>16</v>
      </c>
      <c r="J64" t="s">
        <v>24</v>
      </c>
      <c r="K64" s="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5">
        <v>2426101.7799999998</v>
      </c>
      <c r="F65" s="4">
        <v>66525</v>
      </c>
      <c r="G65" s="4">
        <v>100</v>
      </c>
      <c r="H65" s="4">
        <v>0</v>
      </c>
      <c r="I65" t="s">
        <v>16</v>
      </c>
      <c r="J65" t="s">
        <v>29</v>
      </c>
      <c r="K65" s="4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5">
        <v>661397.37</v>
      </c>
      <c r="F66" s="4">
        <v>0</v>
      </c>
      <c r="G66" s="4">
        <v>63</v>
      </c>
      <c r="H66" s="4">
        <v>0</v>
      </c>
      <c r="I66" t="s">
        <v>16</v>
      </c>
      <c r="J66" t="s">
        <v>17</v>
      </c>
      <c r="K66" s="4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5">
        <v>293069.34999999998</v>
      </c>
      <c r="F67" s="4">
        <v>33663</v>
      </c>
      <c r="G67" s="4">
        <v>73</v>
      </c>
      <c r="H67" s="4">
        <v>0</v>
      </c>
      <c r="I67" t="s">
        <v>16</v>
      </c>
      <c r="J67" t="s">
        <v>17</v>
      </c>
      <c r="K67" s="4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5">
        <v>867219.43</v>
      </c>
      <c r="F68" s="4">
        <v>22547</v>
      </c>
      <c r="G68" s="4">
        <v>112</v>
      </c>
      <c r="H68" s="4">
        <v>0</v>
      </c>
      <c r="I68" t="s">
        <v>28</v>
      </c>
      <c r="J68" t="s">
        <v>29</v>
      </c>
      <c r="K68" s="4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5">
        <v>1163866.93</v>
      </c>
      <c r="F69" s="4">
        <v>61486</v>
      </c>
      <c r="G69" s="4">
        <v>97</v>
      </c>
      <c r="H69" s="4">
        <v>0</v>
      </c>
      <c r="I69" t="s">
        <v>16</v>
      </c>
      <c r="J69" t="s">
        <v>24</v>
      </c>
      <c r="K69" s="4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5">
        <v>684615.03</v>
      </c>
      <c r="F70" s="4">
        <v>0</v>
      </c>
      <c r="G70" s="4">
        <v>95</v>
      </c>
      <c r="H70" s="4">
        <v>0</v>
      </c>
      <c r="I70" t="s">
        <v>16</v>
      </c>
      <c r="J70" t="s">
        <v>24</v>
      </c>
      <c r="K70" s="4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5">
        <v>1172777.6499999999</v>
      </c>
      <c r="F71" s="4">
        <v>29879</v>
      </c>
      <c r="G71" s="4">
        <v>102</v>
      </c>
      <c r="H71" s="4">
        <v>0</v>
      </c>
      <c r="I71" t="s">
        <v>16</v>
      </c>
      <c r="J71" t="s">
        <v>17</v>
      </c>
      <c r="K71" s="4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5">
        <v>2264383.48</v>
      </c>
      <c r="F72" s="4">
        <v>93011</v>
      </c>
      <c r="G72" s="4">
        <v>113</v>
      </c>
      <c r="H72" s="4">
        <v>0</v>
      </c>
      <c r="I72" t="s">
        <v>16</v>
      </c>
      <c r="J72" t="s">
        <v>29</v>
      </c>
      <c r="K72" s="4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5">
        <v>261447.43</v>
      </c>
      <c r="F73" s="4">
        <v>65186</v>
      </c>
      <c r="G73" s="4">
        <v>65</v>
      </c>
      <c r="H73" s="4">
        <v>0</v>
      </c>
      <c r="I73" t="s">
        <v>16</v>
      </c>
      <c r="J73" t="s">
        <v>24</v>
      </c>
      <c r="K73" s="4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5">
        <v>245175.27</v>
      </c>
      <c r="F74" s="4">
        <v>26840</v>
      </c>
      <c r="G74" s="4">
        <v>64</v>
      </c>
      <c r="H74" s="4">
        <v>36557</v>
      </c>
      <c r="I74" t="s">
        <v>16</v>
      </c>
      <c r="J74" t="s">
        <v>17</v>
      </c>
      <c r="K74" s="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5">
        <v>678127.02</v>
      </c>
      <c r="F75" s="4">
        <v>0</v>
      </c>
      <c r="G75" s="4">
        <v>104</v>
      </c>
      <c r="H75" s="4">
        <v>36526</v>
      </c>
      <c r="I75" t="s">
        <v>16</v>
      </c>
      <c r="J75" t="s">
        <v>78</v>
      </c>
      <c r="K75" s="4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5">
        <v>497480.15</v>
      </c>
      <c r="F76" s="4">
        <v>75644</v>
      </c>
      <c r="G76" s="4">
        <v>65</v>
      </c>
      <c r="H76" s="4">
        <v>36586</v>
      </c>
      <c r="I76" t="s">
        <v>16</v>
      </c>
      <c r="J76" t="s">
        <v>24</v>
      </c>
      <c r="K76" s="4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5">
        <v>859160.49</v>
      </c>
      <c r="F77" s="4">
        <v>38984</v>
      </c>
      <c r="G77" s="4">
        <v>73</v>
      </c>
      <c r="H77" s="4">
        <v>0</v>
      </c>
      <c r="I77" t="s">
        <v>16</v>
      </c>
      <c r="J77" t="s">
        <v>17</v>
      </c>
      <c r="K77" s="4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5">
        <v>559216.14</v>
      </c>
      <c r="F78" s="4">
        <v>71811</v>
      </c>
      <c r="G78" s="4">
        <v>71</v>
      </c>
      <c r="H78" s="4">
        <v>0</v>
      </c>
      <c r="I78" t="s">
        <v>16</v>
      </c>
      <c r="J78" t="s">
        <v>17</v>
      </c>
      <c r="K78" s="4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5">
        <v>800947.28</v>
      </c>
      <c r="F79" s="4">
        <v>20961</v>
      </c>
      <c r="G79" s="4">
        <v>67</v>
      </c>
      <c r="H79" s="4">
        <v>0</v>
      </c>
      <c r="I79" t="s">
        <v>16</v>
      </c>
      <c r="J79" t="s">
        <v>17</v>
      </c>
      <c r="K79" s="4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5"/>
      <c r="F80" s="4">
        <v>41275</v>
      </c>
      <c r="G80" s="4">
        <v>96</v>
      </c>
      <c r="H80" s="4">
        <v>0</v>
      </c>
      <c r="I80" t="s">
        <v>16</v>
      </c>
      <c r="J80" t="s">
        <v>17</v>
      </c>
      <c r="K80" s="4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5">
        <v>5816655.3499999996</v>
      </c>
      <c r="F81" s="4">
        <v>61321</v>
      </c>
      <c r="G81" s="4">
        <v>186</v>
      </c>
      <c r="H81" s="4">
        <v>36526</v>
      </c>
      <c r="I81" t="s">
        <v>16</v>
      </c>
      <c r="J81" t="s">
        <v>117</v>
      </c>
      <c r="K81" s="4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5">
        <v>802522.94</v>
      </c>
      <c r="F82" s="4">
        <v>0</v>
      </c>
      <c r="G82" s="4">
        <v>77</v>
      </c>
      <c r="H82" s="4">
        <v>0</v>
      </c>
      <c r="I82" t="s">
        <v>16</v>
      </c>
      <c r="J82" t="s">
        <v>24</v>
      </c>
      <c r="K82" s="4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5">
        <v>578018.22</v>
      </c>
      <c r="F83" s="4">
        <v>51066</v>
      </c>
      <c r="G83" s="4">
        <v>74</v>
      </c>
      <c r="H83" s="4">
        <v>0</v>
      </c>
      <c r="I83" t="s">
        <v>16</v>
      </c>
      <c r="J83" t="s">
        <v>17</v>
      </c>
      <c r="K83" s="4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5">
        <v>411853.91</v>
      </c>
      <c r="F84" s="4">
        <v>34378</v>
      </c>
      <c r="G84" s="4">
        <v>102</v>
      </c>
      <c r="H84" s="4">
        <v>0</v>
      </c>
      <c r="I84" t="s">
        <v>16</v>
      </c>
      <c r="J84" t="s">
        <v>29</v>
      </c>
      <c r="K84" s="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5">
        <v>252307.02</v>
      </c>
      <c r="F85" s="4">
        <v>43072</v>
      </c>
      <c r="G85" s="4">
        <v>63</v>
      </c>
      <c r="H85" s="4">
        <v>0</v>
      </c>
      <c r="I85" t="s">
        <v>16</v>
      </c>
      <c r="J85" t="s">
        <v>17</v>
      </c>
      <c r="K85" s="4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5">
        <v>655421.64</v>
      </c>
      <c r="F86" s="4">
        <v>25222</v>
      </c>
      <c r="G86" s="4">
        <v>90</v>
      </c>
      <c r="H86" s="4">
        <v>0</v>
      </c>
      <c r="I86" t="s">
        <v>16</v>
      </c>
      <c r="J86" t="s">
        <v>17</v>
      </c>
      <c r="K86" s="4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5">
        <v>538275.19999999995</v>
      </c>
      <c r="F87" s="4">
        <v>77552</v>
      </c>
      <c r="G87" s="4">
        <v>68</v>
      </c>
      <c r="H87" s="4">
        <v>36526</v>
      </c>
      <c r="I87" t="s">
        <v>28</v>
      </c>
      <c r="J87" t="s">
        <v>17</v>
      </c>
      <c r="K87" s="4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5">
        <v>592672.93999999994</v>
      </c>
      <c r="F88" s="4">
        <v>23091</v>
      </c>
      <c r="G88" s="4">
        <v>96</v>
      </c>
      <c r="H88" s="4">
        <v>36647</v>
      </c>
      <c r="I88" t="s">
        <v>16</v>
      </c>
      <c r="J88" t="s">
        <v>17</v>
      </c>
      <c r="K88" s="4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5">
        <v>268347.07</v>
      </c>
      <c r="F89" s="4">
        <v>48269</v>
      </c>
      <c r="G89" s="4">
        <v>69</v>
      </c>
      <c r="H89" s="4">
        <v>36586</v>
      </c>
      <c r="I89" t="s">
        <v>28</v>
      </c>
      <c r="J89" t="s">
        <v>17</v>
      </c>
      <c r="K89" s="4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5">
        <v>269518.24</v>
      </c>
      <c r="F90" s="4">
        <v>32720</v>
      </c>
      <c r="G90" s="4">
        <v>67</v>
      </c>
      <c r="H90" s="4">
        <v>0</v>
      </c>
      <c r="I90" t="s">
        <v>16</v>
      </c>
      <c r="J90" t="s">
        <v>17</v>
      </c>
      <c r="K90" s="4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5">
        <v>604702.52</v>
      </c>
      <c r="F91" s="4">
        <v>20396</v>
      </c>
      <c r="G91" s="4">
        <v>76</v>
      </c>
      <c r="H91" s="4">
        <v>36526</v>
      </c>
      <c r="I91" t="s">
        <v>16</v>
      </c>
      <c r="J91" t="s">
        <v>17</v>
      </c>
      <c r="K91" s="4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5">
        <v>1317101.28</v>
      </c>
      <c r="F92" s="4">
        <v>21513</v>
      </c>
      <c r="G92" s="4">
        <v>119</v>
      </c>
      <c r="H92" s="4">
        <v>36526</v>
      </c>
      <c r="I92" t="s">
        <v>16</v>
      </c>
      <c r="J92" t="s">
        <v>24</v>
      </c>
      <c r="K92" s="4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5">
        <v>1595001.95</v>
      </c>
      <c r="F93" s="4">
        <v>0</v>
      </c>
      <c r="G93" s="4">
        <v>87</v>
      </c>
      <c r="H93" s="4">
        <v>36526</v>
      </c>
      <c r="I93" t="s">
        <v>16</v>
      </c>
      <c r="J93" t="s">
        <v>24</v>
      </c>
      <c r="K93" s="4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5">
        <v>252765.38</v>
      </c>
      <c r="F94" s="4">
        <v>80744</v>
      </c>
      <c r="G94" s="4">
        <v>63</v>
      </c>
      <c r="H94" s="4">
        <v>0</v>
      </c>
      <c r="I94" t="s">
        <v>28</v>
      </c>
      <c r="J94" t="s">
        <v>17</v>
      </c>
      <c r="K94" s="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5">
        <v>267209.58</v>
      </c>
      <c r="F95" s="4">
        <v>52822</v>
      </c>
      <c r="G95" s="4">
        <v>67</v>
      </c>
      <c r="H95" s="4">
        <v>0</v>
      </c>
      <c r="I95" t="s">
        <v>28</v>
      </c>
      <c r="J95" t="s">
        <v>24</v>
      </c>
      <c r="K95" s="4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5">
        <v>531329.4</v>
      </c>
      <c r="F96" s="4">
        <v>0</v>
      </c>
      <c r="G96" s="4">
        <v>77</v>
      </c>
      <c r="H96" s="4">
        <v>36526</v>
      </c>
      <c r="I96" t="s">
        <v>16</v>
      </c>
      <c r="J96" t="s">
        <v>17</v>
      </c>
      <c r="K96" s="4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5">
        <v>2094619.25</v>
      </c>
      <c r="F97" s="4">
        <v>69738</v>
      </c>
      <c r="G97" s="4">
        <v>74</v>
      </c>
      <c r="H97" s="4">
        <v>36526</v>
      </c>
      <c r="I97" t="s">
        <v>16</v>
      </c>
      <c r="J97" t="s">
        <v>17</v>
      </c>
      <c r="K97" s="4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5">
        <v>837535.39</v>
      </c>
      <c r="F98" s="4">
        <v>17780</v>
      </c>
      <c r="G98" s="4">
        <v>109</v>
      </c>
      <c r="H98" s="4">
        <v>0</v>
      </c>
      <c r="I98" t="s">
        <v>16</v>
      </c>
      <c r="J98" t="s">
        <v>29</v>
      </c>
      <c r="K98" s="4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5">
        <v>480166.15</v>
      </c>
      <c r="F99" s="4">
        <v>18107</v>
      </c>
      <c r="G99" s="4">
        <v>62</v>
      </c>
      <c r="H99" s="4">
        <v>0</v>
      </c>
      <c r="I99" t="s">
        <v>16</v>
      </c>
      <c r="J99" t="s">
        <v>17</v>
      </c>
      <c r="K99" s="4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5">
        <v>574594.32999999996</v>
      </c>
      <c r="F100" s="4">
        <v>57740</v>
      </c>
      <c r="G100" s="4">
        <v>74</v>
      </c>
      <c r="H100" s="4">
        <v>36586</v>
      </c>
      <c r="I100" t="s">
        <v>16</v>
      </c>
      <c r="J100" t="s">
        <v>17</v>
      </c>
      <c r="K100" s="4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5">
        <v>606611.6</v>
      </c>
      <c r="F101" s="4">
        <v>32627</v>
      </c>
      <c r="G101" s="4">
        <v>76</v>
      </c>
      <c r="H101" s="4">
        <v>0</v>
      </c>
      <c r="I101" t="s">
        <v>16</v>
      </c>
      <c r="J101" t="s">
        <v>24</v>
      </c>
      <c r="K101" s="4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5">
        <v>800230.83</v>
      </c>
      <c r="F102" s="4">
        <v>0</v>
      </c>
      <c r="G102" s="4">
        <v>107</v>
      </c>
      <c r="H102" s="4">
        <v>0</v>
      </c>
      <c r="I102" t="s">
        <v>16</v>
      </c>
      <c r="J102" t="s">
        <v>29</v>
      </c>
      <c r="K102" s="4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5">
        <v>239391.54</v>
      </c>
      <c r="F103" s="4">
        <v>0</v>
      </c>
      <c r="G103" s="4">
        <v>70</v>
      </c>
      <c r="H103" s="4">
        <v>0</v>
      </c>
      <c r="I103" t="s">
        <v>16</v>
      </c>
      <c r="J103" t="s">
        <v>17</v>
      </c>
      <c r="K103" s="4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5">
        <v>476281.79</v>
      </c>
      <c r="F104" s="4">
        <v>65795</v>
      </c>
      <c r="G104" s="4">
        <v>62</v>
      </c>
      <c r="H104" s="4">
        <v>36526</v>
      </c>
      <c r="I104" t="s">
        <v>28</v>
      </c>
      <c r="J104" t="s">
        <v>24</v>
      </c>
      <c r="K104" s="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5">
        <v>433038.6</v>
      </c>
      <c r="F105" s="4">
        <v>60475</v>
      </c>
      <c r="G105" s="4">
        <v>107</v>
      </c>
      <c r="H105" s="4">
        <v>0</v>
      </c>
      <c r="I105" t="s">
        <v>16</v>
      </c>
      <c r="J105" t="s">
        <v>17</v>
      </c>
      <c r="K105" s="4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5">
        <v>940272.98</v>
      </c>
      <c r="F106" s="4">
        <v>0</v>
      </c>
      <c r="G106" s="4">
        <v>130</v>
      </c>
      <c r="H106" s="4">
        <v>0</v>
      </c>
      <c r="I106" t="s">
        <v>16</v>
      </c>
      <c r="J106" t="s">
        <v>29</v>
      </c>
      <c r="K106" s="4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5">
        <v>696669.45</v>
      </c>
      <c r="F107" s="4">
        <v>41837</v>
      </c>
      <c r="G107" s="4">
        <v>88</v>
      </c>
      <c r="H107" s="4">
        <v>0</v>
      </c>
      <c r="I107" t="s">
        <v>16</v>
      </c>
      <c r="J107" t="s">
        <v>17</v>
      </c>
      <c r="K107" s="4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5">
        <v>769406.43</v>
      </c>
      <c r="F108" s="4">
        <v>32303</v>
      </c>
      <c r="G108" s="4">
        <v>65</v>
      </c>
      <c r="H108" s="4">
        <v>0</v>
      </c>
      <c r="I108" t="s">
        <v>16</v>
      </c>
      <c r="J108" t="s">
        <v>17</v>
      </c>
      <c r="K108" s="4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5">
        <v>871756.11</v>
      </c>
      <c r="F109" s="4">
        <v>0</v>
      </c>
      <c r="G109" s="4">
        <v>117</v>
      </c>
      <c r="H109" s="4">
        <v>36526</v>
      </c>
      <c r="I109" t="s">
        <v>16</v>
      </c>
      <c r="J109" t="s">
        <v>29</v>
      </c>
      <c r="K109" s="4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5">
        <v>592874.85</v>
      </c>
      <c r="F110" s="4">
        <v>40531</v>
      </c>
      <c r="G110" s="4">
        <v>74</v>
      </c>
      <c r="H110" s="4">
        <v>0</v>
      </c>
      <c r="I110" t="s">
        <v>16</v>
      </c>
      <c r="J110" t="s">
        <v>24</v>
      </c>
      <c r="K110" s="4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5">
        <v>245297.73</v>
      </c>
      <c r="F111" s="4">
        <v>79898</v>
      </c>
      <c r="G111" s="4">
        <v>62</v>
      </c>
      <c r="H111" s="4">
        <v>36526</v>
      </c>
      <c r="I111" t="s">
        <v>28</v>
      </c>
      <c r="J111" t="s">
        <v>17</v>
      </c>
      <c r="K111" s="4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5">
        <v>670157.17000000004</v>
      </c>
      <c r="F112" s="4">
        <v>56398</v>
      </c>
      <c r="G112" s="4">
        <v>85</v>
      </c>
      <c r="H112" s="4">
        <v>0</v>
      </c>
      <c r="I112" t="s">
        <v>16</v>
      </c>
      <c r="J112" t="s">
        <v>17</v>
      </c>
      <c r="K112" s="4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5">
        <v>499655.27</v>
      </c>
      <c r="F113" s="4">
        <v>71600</v>
      </c>
      <c r="G113" s="4">
        <v>63</v>
      </c>
      <c r="H113" s="4">
        <v>0</v>
      </c>
      <c r="I113" t="s">
        <v>16</v>
      </c>
      <c r="J113" t="s">
        <v>24</v>
      </c>
      <c r="K113" s="4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5">
        <v>849269.88</v>
      </c>
      <c r="F114" s="4">
        <v>27804</v>
      </c>
      <c r="G114" s="4">
        <v>109</v>
      </c>
      <c r="H114" s="4">
        <v>0</v>
      </c>
      <c r="I114" t="s">
        <v>16</v>
      </c>
      <c r="J114" t="s">
        <v>29</v>
      </c>
      <c r="K114" s="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5">
        <v>771349.4</v>
      </c>
      <c r="F115" s="4">
        <v>45506</v>
      </c>
      <c r="G115" s="4">
        <v>66</v>
      </c>
      <c r="H115" s="4">
        <v>36557</v>
      </c>
      <c r="I115" t="s">
        <v>16</v>
      </c>
      <c r="J115" t="s">
        <v>17</v>
      </c>
      <c r="K115" s="4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5">
        <v>518579.76</v>
      </c>
      <c r="F116" s="4">
        <v>99428</v>
      </c>
      <c r="G116" s="4">
        <v>6464</v>
      </c>
      <c r="H116" s="4">
        <v>36526</v>
      </c>
      <c r="I116" t="s">
        <v>16</v>
      </c>
      <c r="J116" t="s">
        <v>17</v>
      </c>
      <c r="K116" s="4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5">
        <v>729006.98</v>
      </c>
      <c r="F117" s="4">
        <v>0</v>
      </c>
      <c r="G117" s="4">
        <v>102</v>
      </c>
      <c r="H117" s="4">
        <v>36526</v>
      </c>
      <c r="I117" t="s">
        <v>28</v>
      </c>
      <c r="J117" t="s">
        <v>29</v>
      </c>
      <c r="K117" s="4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5">
        <v>477294.38</v>
      </c>
      <c r="F118" s="4">
        <v>20993</v>
      </c>
      <c r="G118" s="4">
        <v>133</v>
      </c>
      <c r="H118" s="4">
        <v>0</v>
      </c>
      <c r="I118" t="s">
        <v>16</v>
      </c>
      <c r="J118" t="s">
        <v>29</v>
      </c>
      <c r="K118" s="4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5">
        <v>680649.14</v>
      </c>
      <c r="F119" s="4">
        <v>37839</v>
      </c>
      <c r="G119" s="4">
        <v>86</v>
      </c>
      <c r="H119" s="4">
        <v>0</v>
      </c>
      <c r="I119" t="s">
        <v>16</v>
      </c>
      <c r="J119" t="s">
        <v>24</v>
      </c>
      <c r="K119" s="4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5">
        <v>246978.13</v>
      </c>
      <c r="F120" s="4">
        <v>92711</v>
      </c>
      <c r="G120" s="4">
        <v>62</v>
      </c>
      <c r="H120" s="4">
        <v>0</v>
      </c>
      <c r="I120" t="s">
        <v>16</v>
      </c>
      <c r="J120" t="s">
        <v>24</v>
      </c>
      <c r="K120" s="4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5">
        <v>310392.3</v>
      </c>
      <c r="F121" s="4">
        <v>74665</v>
      </c>
      <c r="G121" s="4">
        <v>78</v>
      </c>
      <c r="H121" s="4">
        <v>36557</v>
      </c>
      <c r="I121" t="s">
        <v>28</v>
      </c>
      <c r="J121" t="s">
        <v>17</v>
      </c>
      <c r="K121" s="4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5">
        <v>1048491.54</v>
      </c>
      <c r="F122" s="4">
        <v>61108</v>
      </c>
      <c r="G122" s="4">
        <v>89</v>
      </c>
      <c r="H122" s="4">
        <v>0</v>
      </c>
      <c r="I122" t="s">
        <v>16</v>
      </c>
      <c r="J122" t="s">
        <v>17</v>
      </c>
      <c r="K122" s="4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5">
        <v>890273.76</v>
      </c>
      <c r="F123" s="4">
        <v>46833</v>
      </c>
      <c r="G123" s="4">
        <v>112</v>
      </c>
      <c r="H123" s="4">
        <v>0</v>
      </c>
      <c r="I123" t="s">
        <v>16</v>
      </c>
      <c r="J123" t="s">
        <v>78</v>
      </c>
      <c r="K123" s="4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5">
        <v>549944.72</v>
      </c>
      <c r="F124" s="4">
        <v>88768</v>
      </c>
      <c r="G124" s="4">
        <v>68</v>
      </c>
      <c r="H124" s="4">
        <v>0</v>
      </c>
      <c r="I124" t="s">
        <v>16</v>
      </c>
      <c r="J124" t="s">
        <v>24</v>
      </c>
      <c r="K124" s="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5">
        <v>1502359.86</v>
      </c>
      <c r="F125" s="4">
        <v>28262</v>
      </c>
      <c r="G125" s="4">
        <v>192</v>
      </c>
      <c r="H125" s="4">
        <v>0</v>
      </c>
      <c r="I125" t="s">
        <v>16</v>
      </c>
      <c r="J125" t="s">
        <v>65</v>
      </c>
      <c r="K125" s="4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5">
        <v>250910.79</v>
      </c>
      <c r="F126" s="4">
        <v>33555</v>
      </c>
      <c r="G126" s="4">
        <v>63</v>
      </c>
      <c r="H126" s="4">
        <v>0</v>
      </c>
      <c r="I126" t="s">
        <v>16</v>
      </c>
      <c r="J126" t="s">
        <v>17</v>
      </c>
      <c r="K126" s="4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5">
        <v>3122174.81</v>
      </c>
      <c r="F127" s="4">
        <v>42780</v>
      </c>
      <c r="G127" s="4">
        <v>113</v>
      </c>
      <c r="H127" s="4">
        <v>36526</v>
      </c>
      <c r="I127" t="s">
        <v>16</v>
      </c>
      <c r="J127" t="s">
        <v>17</v>
      </c>
      <c r="K127" s="4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5">
        <v>313350.34000000003</v>
      </c>
      <c r="F128" s="4">
        <v>58850</v>
      </c>
      <c r="G128" s="4">
        <v>78</v>
      </c>
      <c r="H128" s="4">
        <v>0</v>
      </c>
      <c r="I128" t="s">
        <v>16</v>
      </c>
      <c r="J128" t="s">
        <v>17</v>
      </c>
      <c r="K128" s="4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5">
        <v>383745.19</v>
      </c>
      <c r="F129" s="4">
        <v>21880</v>
      </c>
      <c r="G129" s="4">
        <v>97</v>
      </c>
      <c r="H129" s="4">
        <v>0</v>
      </c>
      <c r="I129" t="s">
        <v>39</v>
      </c>
      <c r="J129" t="s">
        <v>17</v>
      </c>
      <c r="K129" s="4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5">
        <v>1179049.6200000001</v>
      </c>
      <c r="F130" s="4">
        <v>25251</v>
      </c>
      <c r="G130" s="4">
        <v>66</v>
      </c>
      <c r="H130" s="4">
        <v>0</v>
      </c>
      <c r="I130" t="s">
        <v>16</v>
      </c>
      <c r="J130" t="s">
        <v>17</v>
      </c>
      <c r="K130" s="4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5">
        <v>282986.39</v>
      </c>
      <c r="F131" s="4">
        <v>25317</v>
      </c>
      <c r="G131" s="4">
        <v>71</v>
      </c>
      <c r="H131" s="4">
        <v>0</v>
      </c>
      <c r="I131" t="s">
        <v>16</v>
      </c>
      <c r="J131" t="s">
        <v>24</v>
      </c>
      <c r="K131" s="4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5">
        <v>430580.83</v>
      </c>
      <c r="F132" s="4">
        <v>24188</v>
      </c>
      <c r="G132" s="4">
        <v>109</v>
      </c>
      <c r="H132" s="4">
        <v>0</v>
      </c>
      <c r="I132" t="s">
        <v>16</v>
      </c>
      <c r="J132" t="s">
        <v>78</v>
      </c>
      <c r="K132" s="4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5">
        <v>597397.68999999994</v>
      </c>
      <c r="F133" s="4">
        <v>41611</v>
      </c>
      <c r="G133" s="4">
        <v>74</v>
      </c>
      <c r="H133" s="4">
        <v>0</v>
      </c>
      <c r="I133" t="s">
        <v>39</v>
      </c>
      <c r="J133" t="s">
        <v>17</v>
      </c>
      <c r="K133" s="4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5">
        <v>567044.24</v>
      </c>
      <c r="F134" s="4">
        <v>28406</v>
      </c>
      <c r="G134" s="4">
        <v>72</v>
      </c>
      <c r="H134" s="4">
        <v>36526</v>
      </c>
      <c r="I134" t="s">
        <v>16</v>
      </c>
      <c r="J134" t="s">
        <v>17</v>
      </c>
      <c r="K134" s="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5">
        <v>473174.93</v>
      </c>
      <c r="F135" s="4">
        <v>69833</v>
      </c>
      <c r="G135" s="4">
        <v>118</v>
      </c>
      <c r="H135" s="4">
        <v>0</v>
      </c>
      <c r="I135" t="s">
        <v>16</v>
      </c>
      <c r="J135" t="s">
        <v>17</v>
      </c>
      <c r="K135" s="4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5">
        <v>802637.96</v>
      </c>
      <c r="F136" s="4">
        <v>0</v>
      </c>
      <c r="G136" s="4">
        <v>74</v>
      </c>
      <c r="H136" s="4">
        <v>0</v>
      </c>
      <c r="I136" t="s">
        <v>28</v>
      </c>
      <c r="J136" t="s">
        <v>17</v>
      </c>
      <c r="K136" s="4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5">
        <v>402296.35</v>
      </c>
      <c r="F137" s="4">
        <v>0</v>
      </c>
      <c r="G137" s="4">
        <v>117</v>
      </c>
      <c r="H137" s="4">
        <v>0</v>
      </c>
      <c r="I137" t="s">
        <v>16</v>
      </c>
      <c r="J137" t="s">
        <v>29</v>
      </c>
      <c r="K137" s="4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5">
        <v>961831.09</v>
      </c>
      <c r="F138" s="4">
        <v>80536</v>
      </c>
      <c r="G138" s="4">
        <v>119</v>
      </c>
      <c r="H138" s="4">
        <v>0</v>
      </c>
      <c r="I138" t="s">
        <v>39</v>
      </c>
      <c r="J138" t="s">
        <v>78</v>
      </c>
      <c r="K138" s="4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5">
        <v>725595.38</v>
      </c>
      <c r="F139" s="4">
        <v>88891</v>
      </c>
      <c r="G139" s="4">
        <v>89</v>
      </c>
      <c r="H139" s="4">
        <v>0</v>
      </c>
      <c r="I139" t="s">
        <v>16</v>
      </c>
      <c r="J139" t="s">
        <v>17</v>
      </c>
      <c r="K139" s="4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5">
        <v>955292.69</v>
      </c>
      <c r="F140" s="4">
        <v>97732</v>
      </c>
      <c r="G140" s="4">
        <v>79</v>
      </c>
      <c r="H140" s="4">
        <v>0</v>
      </c>
      <c r="I140" t="s">
        <v>16</v>
      </c>
      <c r="J140" t="s">
        <v>17</v>
      </c>
      <c r="K140" s="4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5">
        <v>1038855.32</v>
      </c>
      <c r="F141" s="4">
        <v>61222</v>
      </c>
      <c r="G141" s="4">
        <v>89</v>
      </c>
      <c r="H141" s="4">
        <v>0</v>
      </c>
      <c r="I141" t="s">
        <v>39</v>
      </c>
      <c r="J141" t="s">
        <v>17</v>
      </c>
      <c r="K141" s="4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 s="4">
        <v>0</v>
      </c>
      <c r="G142" s="4">
        <v>74</v>
      </c>
      <c r="H142" s="4">
        <v>0</v>
      </c>
      <c r="I142" t="s">
        <v>16</v>
      </c>
      <c r="J142" t="s">
        <v>24</v>
      </c>
      <c r="K142" s="4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5">
        <v>561906.85</v>
      </c>
      <c r="F143" s="4">
        <v>50335</v>
      </c>
      <c r="G143" s="4">
        <v>140</v>
      </c>
      <c r="H143" s="4">
        <v>0</v>
      </c>
      <c r="I143" t="s">
        <v>16</v>
      </c>
      <c r="J143" t="s">
        <v>29</v>
      </c>
      <c r="K143" s="4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5">
        <v>904711.92</v>
      </c>
      <c r="F144" s="4">
        <v>0</v>
      </c>
      <c r="G144" s="4">
        <v>127</v>
      </c>
      <c r="H144" s="4">
        <v>0</v>
      </c>
      <c r="I144" t="s">
        <v>16</v>
      </c>
      <c r="J144" t="s">
        <v>78</v>
      </c>
      <c r="K144" s="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5">
        <v>268731.40999999997</v>
      </c>
      <c r="F145" s="4">
        <v>82210</v>
      </c>
      <c r="G145" s="4">
        <v>68</v>
      </c>
      <c r="H145" s="4">
        <v>36617</v>
      </c>
      <c r="I145" t="s">
        <v>16</v>
      </c>
      <c r="J145" t="s">
        <v>17</v>
      </c>
      <c r="K145" s="4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5">
        <v>373150.46</v>
      </c>
      <c r="F146" s="4">
        <v>0</v>
      </c>
      <c r="G146" s="4">
        <v>96</v>
      </c>
      <c r="H146" s="4">
        <v>0</v>
      </c>
      <c r="I146" t="s">
        <v>16</v>
      </c>
      <c r="J146" t="s">
        <v>17</v>
      </c>
      <c r="K146" s="4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5">
        <v>366077.03</v>
      </c>
      <c r="F147" s="4">
        <v>64495</v>
      </c>
      <c r="G147" s="4">
        <v>92</v>
      </c>
      <c r="H147" s="4">
        <v>0</v>
      </c>
      <c r="I147" t="s">
        <v>28</v>
      </c>
      <c r="J147" t="s">
        <v>17</v>
      </c>
      <c r="K147" s="4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5">
        <v>792882.93</v>
      </c>
      <c r="F148" s="4">
        <v>0</v>
      </c>
      <c r="G148" s="4">
        <v>72</v>
      </c>
      <c r="H148" s="4">
        <v>0</v>
      </c>
      <c r="I148" t="s">
        <v>28</v>
      </c>
      <c r="J148" t="s">
        <v>17</v>
      </c>
      <c r="K148" s="4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5">
        <v>501175.16</v>
      </c>
      <c r="F149" s="4">
        <v>28859</v>
      </c>
      <c r="G149" s="4">
        <v>67</v>
      </c>
      <c r="H149" s="4">
        <v>36586</v>
      </c>
      <c r="I149" t="s">
        <v>28</v>
      </c>
      <c r="J149" t="s">
        <v>24</v>
      </c>
      <c r="K149" s="4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5">
        <v>798825.83</v>
      </c>
      <c r="F150" s="4">
        <v>77330</v>
      </c>
      <c r="G150" s="4">
        <v>99</v>
      </c>
      <c r="H150" s="4">
        <v>0</v>
      </c>
      <c r="I150" t="s">
        <v>16</v>
      </c>
      <c r="J150" t="s">
        <v>17</v>
      </c>
      <c r="K150" s="4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 s="4">
        <v>0</v>
      </c>
      <c r="G151" s="4">
        <v>105</v>
      </c>
      <c r="H151" s="4">
        <v>0</v>
      </c>
      <c r="I151" t="s">
        <v>28</v>
      </c>
      <c r="J151" t="s">
        <v>17</v>
      </c>
      <c r="K151" s="4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5">
        <v>935773.78</v>
      </c>
      <c r="F152" s="4">
        <v>33060</v>
      </c>
      <c r="G152" s="4">
        <v>117</v>
      </c>
      <c r="H152" s="4">
        <v>0</v>
      </c>
      <c r="I152" t="s">
        <v>16</v>
      </c>
      <c r="J152" t="s">
        <v>17</v>
      </c>
      <c r="K152" s="4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5">
        <v>254068.98</v>
      </c>
      <c r="F153" s="4">
        <v>42557</v>
      </c>
      <c r="G153" s="4">
        <v>65</v>
      </c>
      <c r="H153" s="4">
        <v>0</v>
      </c>
      <c r="I153" t="s">
        <v>16</v>
      </c>
      <c r="J153" t="s">
        <v>17</v>
      </c>
      <c r="K153" s="4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5">
        <v>488516.25</v>
      </c>
      <c r="F154" s="4">
        <v>26372</v>
      </c>
      <c r="G154" s="4">
        <v>126</v>
      </c>
      <c r="H154" s="4">
        <v>0</v>
      </c>
      <c r="I154" t="s">
        <v>16</v>
      </c>
      <c r="J154" t="s">
        <v>29</v>
      </c>
      <c r="K154" s="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5">
        <v>975330.71</v>
      </c>
      <c r="F155" s="4">
        <v>17514</v>
      </c>
      <c r="G155" s="4">
        <v>127</v>
      </c>
      <c r="H155" s="4">
        <v>0</v>
      </c>
      <c r="I155" t="s">
        <v>16</v>
      </c>
      <c r="J155" t="s">
        <v>29</v>
      </c>
      <c r="K155" s="4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5">
        <v>294615.37</v>
      </c>
      <c r="F156" s="4">
        <v>89270</v>
      </c>
      <c r="G156" s="4">
        <v>74</v>
      </c>
      <c r="H156" s="4">
        <v>0</v>
      </c>
      <c r="I156" t="s">
        <v>16</v>
      </c>
      <c r="J156" t="s">
        <v>17</v>
      </c>
      <c r="K156" s="4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 s="4">
        <v>29757</v>
      </c>
      <c r="G157" s="4">
        <v>65</v>
      </c>
      <c r="H157" s="4">
        <v>0</v>
      </c>
      <c r="I157" t="s">
        <v>16</v>
      </c>
      <c r="J157" t="s">
        <v>17</v>
      </c>
      <c r="K157" s="4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 s="4">
        <v>51814</v>
      </c>
      <c r="G158" s="4">
        <v>92</v>
      </c>
      <c r="H158" s="4">
        <v>0</v>
      </c>
      <c r="I158" t="s">
        <v>16</v>
      </c>
      <c r="J158" t="s">
        <v>17</v>
      </c>
      <c r="K158" s="4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5">
        <v>974335.01</v>
      </c>
      <c r="F159" s="4">
        <v>24028</v>
      </c>
      <c r="G159" s="4">
        <v>82</v>
      </c>
      <c r="H159" s="4">
        <v>0</v>
      </c>
      <c r="I159" t="s">
        <v>16</v>
      </c>
      <c r="J159" t="s">
        <v>17</v>
      </c>
      <c r="K159" s="4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5">
        <v>387364.7</v>
      </c>
      <c r="F160" s="4">
        <v>28142</v>
      </c>
      <c r="G160" s="4">
        <v>105</v>
      </c>
      <c r="H160" s="4">
        <v>0</v>
      </c>
      <c r="I160" t="s">
        <v>16</v>
      </c>
      <c r="J160" t="s">
        <v>78</v>
      </c>
      <c r="K160" s="4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5">
        <v>764928.2</v>
      </c>
      <c r="F161" s="4">
        <v>52705</v>
      </c>
      <c r="G161" s="4">
        <v>64</v>
      </c>
      <c r="H161" s="4">
        <v>36526</v>
      </c>
      <c r="I161" t="s">
        <v>16</v>
      </c>
      <c r="J161" t="s">
        <v>24</v>
      </c>
      <c r="K161" s="4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 s="4">
        <v>0</v>
      </c>
      <c r="G162" s="4">
        <v>63</v>
      </c>
      <c r="H162" s="4">
        <v>0</v>
      </c>
      <c r="I162" t="s">
        <v>28</v>
      </c>
      <c r="J162" t="s">
        <v>24</v>
      </c>
      <c r="K162" s="4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5">
        <v>825576.39</v>
      </c>
      <c r="F163" s="4">
        <v>54040</v>
      </c>
      <c r="G163" s="4">
        <v>103</v>
      </c>
      <c r="H163" s="4">
        <v>0</v>
      </c>
      <c r="I163" t="s">
        <v>16</v>
      </c>
      <c r="J163" t="s">
        <v>29</v>
      </c>
      <c r="K163" s="4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5">
        <v>871492.21</v>
      </c>
      <c r="F164" s="4">
        <v>0</v>
      </c>
      <c r="G164" s="4">
        <v>118</v>
      </c>
      <c r="H164" s="4">
        <v>0</v>
      </c>
      <c r="I164" t="s">
        <v>16</v>
      </c>
      <c r="J164" t="s">
        <v>29</v>
      </c>
      <c r="K164" s="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5">
        <v>681923.12</v>
      </c>
      <c r="F165" s="4">
        <v>22492</v>
      </c>
      <c r="G165" s="4">
        <v>85</v>
      </c>
      <c r="H165" s="4">
        <v>0</v>
      </c>
      <c r="I165" t="s">
        <v>16</v>
      </c>
      <c r="J165" t="s">
        <v>24</v>
      </c>
      <c r="K165" s="4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5">
        <v>741619.73</v>
      </c>
      <c r="F166" s="4">
        <v>0</v>
      </c>
      <c r="G166" s="4">
        <v>77</v>
      </c>
      <c r="H166" s="4">
        <v>36557</v>
      </c>
      <c r="I166" t="s">
        <v>16</v>
      </c>
      <c r="J166" t="s">
        <v>17</v>
      </c>
      <c r="K166" s="4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5">
        <v>777115.9</v>
      </c>
      <c r="F167" s="4">
        <v>21876</v>
      </c>
      <c r="G167" s="4">
        <v>68</v>
      </c>
      <c r="H167" s="4">
        <v>0</v>
      </c>
      <c r="I167" t="s">
        <v>16</v>
      </c>
      <c r="J167" t="s">
        <v>17</v>
      </c>
      <c r="K167" s="4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5">
        <v>696834.19</v>
      </c>
      <c r="F168" s="4">
        <v>0</v>
      </c>
      <c r="G168" s="4">
        <v>69</v>
      </c>
      <c r="H168" s="4">
        <v>36526</v>
      </c>
      <c r="I168" t="s">
        <v>16</v>
      </c>
      <c r="J168" t="s">
        <v>17</v>
      </c>
      <c r="K168" s="4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5">
        <v>425028.26</v>
      </c>
      <c r="F169" s="4">
        <v>0</v>
      </c>
      <c r="G169" s="4">
        <v>61</v>
      </c>
      <c r="H169" s="4">
        <v>36526</v>
      </c>
      <c r="I169" t="s">
        <v>16</v>
      </c>
      <c r="J169" t="s">
        <v>17</v>
      </c>
      <c r="K169" s="4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5">
        <v>1977656.65</v>
      </c>
      <c r="F170" s="4">
        <v>70699</v>
      </c>
      <c r="G170" s="4">
        <v>82</v>
      </c>
      <c r="H170" s="4">
        <v>0</v>
      </c>
      <c r="I170" t="s">
        <v>16</v>
      </c>
      <c r="J170" t="s">
        <v>17</v>
      </c>
      <c r="K170" s="4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5">
        <v>2134346.6</v>
      </c>
      <c r="F171" s="4">
        <v>0</v>
      </c>
      <c r="G171" s="4">
        <v>74</v>
      </c>
      <c r="H171" s="4">
        <v>36526</v>
      </c>
      <c r="I171" t="s">
        <v>16</v>
      </c>
      <c r="J171" t="s">
        <v>17</v>
      </c>
      <c r="K171" s="4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 s="4">
        <v>27501</v>
      </c>
      <c r="G172" s="4">
        <v>63</v>
      </c>
      <c r="H172" s="4">
        <v>0</v>
      </c>
      <c r="I172" t="s">
        <v>16</v>
      </c>
      <c r="J172" t="s">
        <v>17</v>
      </c>
      <c r="K172" s="4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5">
        <v>1536384.72</v>
      </c>
      <c r="F173" s="4">
        <v>15897</v>
      </c>
      <c r="G173" s="4">
        <v>101</v>
      </c>
      <c r="H173" s="4">
        <v>0</v>
      </c>
      <c r="I173" t="s">
        <v>16</v>
      </c>
      <c r="J173" t="s">
        <v>17</v>
      </c>
      <c r="K173" s="4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5">
        <v>845696.19</v>
      </c>
      <c r="F174" s="4">
        <v>25141</v>
      </c>
      <c r="G174" s="4">
        <v>73</v>
      </c>
      <c r="H174" s="4">
        <v>36526</v>
      </c>
      <c r="I174" t="s">
        <v>16</v>
      </c>
      <c r="J174" t="s">
        <v>17</v>
      </c>
      <c r="K174" s="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5">
        <v>218964.25</v>
      </c>
      <c r="F175" s="4">
        <v>0</v>
      </c>
      <c r="G175" s="4">
        <v>61</v>
      </c>
      <c r="H175" s="4">
        <v>36586</v>
      </c>
      <c r="I175" t="s">
        <v>16</v>
      </c>
      <c r="J175" t="s">
        <v>17</v>
      </c>
      <c r="K175" s="4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 s="4">
        <v>51066</v>
      </c>
      <c r="G176" s="4">
        <v>74</v>
      </c>
      <c r="H176" s="4">
        <v>0</v>
      </c>
      <c r="I176" t="s">
        <v>16</v>
      </c>
      <c r="J176" t="s">
        <v>17</v>
      </c>
      <c r="K176" s="4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5">
        <v>463998.16</v>
      </c>
      <c r="F177" s="4">
        <v>28358</v>
      </c>
      <c r="G177" s="4">
        <v>117</v>
      </c>
      <c r="H177" s="4">
        <v>0</v>
      </c>
      <c r="I177" t="s">
        <v>16</v>
      </c>
      <c r="J177" t="s">
        <v>78</v>
      </c>
      <c r="K177" s="4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5">
        <v>382443.13</v>
      </c>
      <c r="F178" s="4">
        <v>62530</v>
      </c>
      <c r="G178" s="4">
        <v>95</v>
      </c>
      <c r="H178" s="4">
        <v>0</v>
      </c>
      <c r="I178" t="s">
        <v>16</v>
      </c>
      <c r="J178" t="s">
        <v>17</v>
      </c>
      <c r="K178" s="4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5">
        <v>596811.89</v>
      </c>
      <c r="F179" s="4">
        <v>90972</v>
      </c>
      <c r="G179" s="4">
        <v>74</v>
      </c>
      <c r="H179" s="4">
        <v>0</v>
      </c>
      <c r="I179" t="s">
        <v>16</v>
      </c>
      <c r="J179" t="s">
        <v>24</v>
      </c>
      <c r="K179" s="4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5">
        <v>859033.5</v>
      </c>
      <c r="F180" s="4">
        <v>63110</v>
      </c>
      <c r="G180" s="4">
        <v>72</v>
      </c>
      <c r="H180" s="4">
        <v>0</v>
      </c>
      <c r="I180" t="s">
        <v>16</v>
      </c>
      <c r="J180" t="s">
        <v>17</v>
      </c>
      <c r="K180" s="4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5">
        <v>407663.47</v>
      </c>
      <c r="F181" s="4">
        <v>29549</v>
      </c>
      <c r="G181" s="4">
        <v>104</v>
      </c>
      <c r="H181" s="4">
        <v>0</v>
      </c>
      <c r="I181" t="s">
        <v>16</v>
      </c>
      <c r="J181" t="s">
        <v>78</v>
      </c>
      <c r="K181" s="4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5">
        <v>1225260.18</v>
      </c>
      <c r="F182" s="4">
        <v>0</v>
      </c>
      <c r="G182" s="4">
        <v>115</v>
      </c>
      <c r="H182" s="4">
        <v>36526</v>
      </c>
      <c r="I182" t="s">
        <v>16</v>
      </c>
      <c r="J182" t="s">
        <v>17</v>
      </c>
      <c r="K182" s="4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5">
        <v>1693627.15</v>
      </c>
      <c r="F183" s="4">
        <v>39411</v>
      </c>
      <c r="G183" s="4">
        <v>217</v>
      </c>
      <c r="H183" s="4">
        <v>36557</v>
      </c>
      <c r="I183" t="s">
        <v>16</v>
      </c>
      <c r="J183" t="s">
        <v>117</v>
      </c>
      <c r="K183" s="4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 s="4">
        <v>21709</v>
      </c>
      <c r="G184" s="4">
        <v>62</v>
      </c>
      <c r="H184" s="4">
        <v>0</v>
      </c>
      <c r="I184" t="s">
        <v>16</v>
      </c>
      <c r="J184" t="s">
        <v>17</v>
      </c>
      <c r="K184" s="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5">
        <v>994230.48</v>
      </c>
      <c r="F185" s="4">
        <v>67890</v>
      </c>
      <c r="G185" s="4">
        <v>85</v>
      </c>
      <c r="H185" s="4">
        <v>0</v>
      </c>
      <c r="I185" t="s">
        <v>16</v>
      </c>
      <c r="J185" t="s">
        <v>17</v>
      </c>
      <c r="K185" s="4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5">
        <v>373583.81</v>
      </c>
      <c r="F186" s="4">
        <v>0</v>
      </c>
      <c r="G186" s="4">
        <v>110</v>
      </c>
      <c r="H186" s="4">
        <v>0</v>
      </c>
      <c r="I186" t="s">
        <v>16</v>
      </c>
      <c r="J186" t="s">
        <v>29</v>
      </c>
      <c r="K186" s="4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5">
        <v>1311752.22</v>
      </c>
      <c r="F187" s="4">
        <v>84311</v>
      </c>
      <c r="G187" s="4">
        <v>111</v>
      </c>
      <c r="H187" s="4">
        <v>36617</v>
      </c>
      <c r="I187" t="s">
        <v>16</v>
      </c>
      <c r="J187" t="s">
        <v>29</v>
      </c>
      <c r="K187" s="4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5">
        <v>457452.41</v>
      </c>
      <c r="F188" s="4">
        <v>99316</v>
      </c>
      <c r="G188" s="4">
        <v>114</v>
      </c>
      <c r="H188" s="4">
        <v>0</v>
      </c>
      <c r="I188" t="s">
        <v>28</v>
      </c>
      <c r="J188" t="s">
        <v>29</v>
      </c>
      <c r="K188" s="4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5">
        <v>547006.06000000006</v>
      </c>
      <c r="F189" s="4">
        <v>54507</v>
      </c>
      <c r="G189" s="4">
        <v>138</v>
      </c>
      <c r="H189" s="4">
        <v>0</v>
      </c>
      <c r="I189" t="s">
        <v>16</v>
      </c>
      <c r="J189" t="s">
        <v>29</v>
      </c>
      <c r="K189" s="4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5">
        <v>297884.59999999998</v>
      </c>
      <c r="F190" s="4">
        <v>64586</v>
      </c>
      <c r="G190" s="4">
        <v>76</v>
      </c>
      <c r="H190" s="4">
        <v>0</v>
      </c>
      <c r="I190" t="s">
        <v>16</v>
      </c>
      <c r="J190" t="s">
        <v>17</v>
      </c>
      <c r="K190" s="4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 s="4">
        <v>61709</v>
      </c>
      <c r="G191" s="4">
        <v>82</v>
      </c>
      <c r="H191" s="4">
        <v>36557</v>
      </c>
      <c r="I191" t="s">
        <v>16</v>
      </c>
      <c r="J191" t="s">
        <v>17</v>
      </c>
      <c r="K191" s="4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5">
        <v>447902.31</v>
      </c>
      <c r="F192" s="4">
        <v>94656</v>
      </c>
      <c r="G192" s="4">
        <v>111</v>
      </c>
      <c r="H192" s="4">
        <v>36526</v>
      </c>
      <c r="I192" t="s">
        <v>39</v>
      </c>
      <c r="J192" t="s">
        <v>29</v>
      </c>
      <c r="K192" s="4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5">
        <v>238373.19</v>
      </c>
      <c r="F193" s="4">
        <v>0</v>
      </c>
      <c r="G193" s="4">
        <v>69</v>
      </c>
      <c r="H193" s="4">
        <v>0</v>
      </c>
      <c r="I193" t="s">
        <v>39</v>
      </c>
      <c r="J193" t="s">
        <v>24</v>
      </c>
      <c r="K193" s="4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5">
        <v>276449.37</v>
      </c>
      <c r="F194" s="4">
        <v>61085</v>
      </c>
      <c r="G194" s="4">
        <v>70</v>
      </c>
      <c r="H194" s="4">
        <v>36526</v>
      </c>
      <c r="I194" t="s">
        <v>16</v>
      </c>
      <c r="J194" t="s">
        <v>24</v>
      </c>
      <c r="K194" s="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5">
        <v>792010.54</v>
      </c>
      <c r="F195" s="4">
        <v>89284</v>
      </c>
      <c r="G195" s="4">
        <v>67</v>
      </c>
      <c r="H195" s="4">
        <v>36586</v>
      </c>
      <c r="I195" t="s">
        <v>16</v>
      </c>
      <c r="J195" t="s">
        <v>24</v>
      </c>
      <c r="K195" s="4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5">
        <v>688909.8</v>
      </c>
      <c r="F196" s="4">
        <v>0</v>
      </c>
      <c r="G196" s="4">
        <v>63</v>
      </c>
      <c r="H196" s="4">
        <v>0</v>
      </c>
      <c r="I196" t="s">
        <v>16</v>
      </c>
      <c r="J196" t="s">
        <v>17</v>
      </c>
      <c r="K196" s="4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5">
        <v>327419.46000000002</v>
      </c>
      <c r="F197" s="4">
        <v>31686</v>
      </c>
      <c r="G197" s="4">
        <v>81</v>
      </c>
      <c r="H197" s="4">
        <v>0</v>
      </c>
      <c r="I197" t="s">
        <v>16</v>
      </c>
      <c r="J197" t="s">
        <v>17</v>
      </c>
      <c r="K197" s="4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 s="4">
        <v>56855</v>
      </c>
      <c r="G198" s="4">
        <v>255</v>
      </c>
      <c r="H198" s="4">
        <v>0</v>
      </c>
      <c r="I198" t="s">
        <v>28</v>
      </c>
      <c r="J198" t="s">
        <v>65</v>
      </c>
      <c r="K198" s="4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5">
        <v>252155.57</v>
      </c>
      <c r="F199" s="4">
        <v>53703</v>
      </c>
      <c r="G199" s="4">
        <v>67</v>
      </c>
      <c r="H199" s="4">
        <v>36557</v>
      </c>
      <c r="I199" t="s">
        <v>39</v>
      </c>
      <c r="J199" t="s">
        <v>17</v>
      </c>
      <c r="K199" s="4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5">
        <v>2370611.34</v>
      </c>
      <c r="F200" s="4">
        <v>0</v>
      </c>
      <c r="G200" s="4">
        <v>96</v>
      </c>
      <c r="H200" s="4">
        <v>36526</v>
      </c>
      <c r="I200" t="s">
        <v>16</v>
      </c>
      <c r="J200" t="s">
        <v>24</v>
      </c>
      <c r="K200" s="4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 s="4">
        <v>20396</v>
      </c>
      <c r="G201" s="4">
        <v>76</v>
      </c>
      <c r="H201" s="4">
        <v>36526</v>
      </c>
      <c r="I201" t="s">
        <v>16</v>
      </c>
      <c r="J201" t="s">
        <v>17</v>
      </c>
      <c r="K201" s="4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5">
        <v>1114030.25</v>
      </c>
      <c r="F202" s="4">
        <v>27679</v>
      </c>
      <c r="G202" s="4">
        <v>150</v>
      </c>
      <c r="H202" s="4">
        <v>0</v>
      </c>
      <c r="I202" t="s">
        <v>16</v>
      </c>
      <c r="J202" t="s">
        <v>29</v>
      </c>
      <c r="K202" s="4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5">
        <v>433406.41</v>
      </c>
      <c r="F203" s="4">
        <v>23904</v>
      </c>
      <c r="G203" s="4">
        <v>123</v>
      </c>
      <c r="H203" s="4">
        <v>36586</v>
      </c>
      <c r="I203" t="s">
        <v>16</v>
      </c>
      <c r="J203" t="s">
        <v>29</v>
      </c>
      <c r="K203" s="4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5">
        <v>279974.78999999998</v>
      </c>
      <c r="F204" s="4">
        <v>65351</v>
      </c>
      <c r="G204" s="4">
        <v>69</v>
      </c>
      <c r="H204" s="4">
        <v>0</v>
      </c>
      <c r="I204" t="s">
        <v>28</v>
      </c>
      <c r="J204" t="s">
        <v>17</v>
      </c>
      <c r="K204" s="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 s="4">
        <v>0</v>
      </c>
      <c r="G205" s="4">
        <v>113</v>
      </c>
      <c r="H205" s="4">
        <v>0</v>
      </c>
      <c r="I205" t="s">
        <v>16</v>
      </c>
      <c r="J205" t="s">
        <v>29</v>
      </c>
      <c r="K205" s="4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 s="4">
        <v>0</v>
      </c>
      <c r="G206" s="4">
        <v>63</v>
      </c>
      <c r="H206" s="4">
        <v>36586</v>
      </c>
      <c r="I206" t="s">
        <v>16</v>
      </c>
      <c r="J206" t="s">
        <v>17</v>
      </c>
      <c r="K206" s="4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 s="4">
        <v>0</v>
      </c>
      <c r="G207" s="4">
        <v>116</v>
      </c>
      <c r="H207" s="4">
        <v>0</v>
      </c>
      <c r="I207" t="s">
        <v>16</v>
      </c>
      <c r="J207" t="s">
        <v>29</v>
      </c>
      <c r="K207" s="4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5">
        <v>292497.67</v>
      </c>
      <c r="F208" s="4">
        <v>64459</v>
      </c>
      <c r="G208" s="4">
        <v>72</v>
      </c>
      <c r="H208" s="4">
        <v>0</v>
      </c>
      <c r="I208" t="s">
        <v>16</v>
      </c>
      <c r="J208" t="s">
        <v>17</v>
      </c>
      <c r="K208" s="4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 s="4">
        <v>32961</v>
      </c>
      <c r="G209" s="4">
        <v>190</v>
      </c>
      <c r="H209" s="4">
        <v>0</v>
      </c>
      <c r="I209" t="s">
        <v>28</v>
      </c>
      <c r="J209" t="s">
        <v>29</v>
      </c>
      <c r="K209" s="4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5">
        <v>927723.38</v>
      </c>
      <c r="F210" s="4">
        <v>71416</v>
      </c>
      <c r="G210" s="4">
        <v>116</v>
      </c>
      <c r="H210" s="4">
        <v>0</v>
      </c>
      <c r="I210" t="s">
        <v>28</v>
      </c>
      <c r="J210" t="s">
        <v>29</v>
      </c>
      <c r="K210" s="4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5">
        <v>627412.39</v>
      </c>
      <c r="F211" s="4">
        <v>68964</v>
      </c>
      <c r="G211" s="4">
        <v>78</v>
      </c>
      <c r="H211" s="4">
        <v>0</v>
      </c>
      <c r="I211" t="s">
        <v>16</v>
      </c>
      <c r="J211" t="s">
        <v>17</v>
      </c>
      <c r="K211" s="4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 s="4">
        <v>78108</v>
      </c>
      <c r="G212" s="4">
        <v>98</v>
      </c>
      <c r="H212" s="4">
        <v>0</v>
      </c>
      <c r="I212" t="s">
        <v>16</v>
      </c>
      <c r="J212" t="s">
        <v>24</v>
      </c>
      <c r="K212" s="4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 s="4">
        <v>10621</v>
      </c>
      <c r="G213" s="4">
        <v>67</v>
      </c>
      <c r="H213" s="4">
        <v>0</v>
      </c>
      <c r="I213" t="s">
        <v>39</v>
      </c>
      <c r="J213" t="s">
        <v>17</v>
      </c>
      <c r="K213" s="4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 s="4">
        <v>84910</v>
      </c>
      <c r="G214" s="4">
        <v>95</v>
      </c>
      <c r="H214" s="4">
        <v>0</v>
      </c>
      <c r="I214" t="s">
        <v>28</v>
      </c>
      <c r="J214" t="s">
        <v>24</v>
      </c>
      <c r="K214" s="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 s="4">
        <v>77493</v>
      </c>
      <c r="G215" s="4">
        <v>70</v>
      </c>
      <c r="H215" s="4">
        <v>0</v>
      </c>
      <c r="I215" t="s">
        <v>39</v>
      </c>
      <c r="J215" t="s">
        <v>17</v>
      </c>
      <c r="K215" s="4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5">
        <v>291289.2</v>
      </c>
      <c r="F216" s="4">
        <v>81097</v>
      </c>
      <c r="G216" s="4">
        <v>74</v>
      </c>
      <c r="H216" s="4">
        <v>0</v>
      </c>
      <c r="I216" t="s">
        <v>16</v>
      </c>
      <c r="J216" t="s">
        <v>17</v>
      </c>
      <c r="K216" s="4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 s="4">
        <v>96610</v>
      </c>
      <c r="G217" s="4">
        <v>85</v>
      </c>
      <c r="H217" s="4">
        <v>0</v>
      </c>
      <c r="I217" t="s">
        <v>28</v>
      </c>
      <c r="J217" t="s">
        <v>17</v>
      </c>
      <c r="K217" s="4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 s="4">
        <v>30110</v>
      </c>
      <c r="G218" s="4">
        <v>159</v>
      </c>
      <c r="H218" s="4">
        <v>0</v>
      </c>
      <c r="I218" t="s">
        <v>28</v>
      </c>
      <c r="J218" t="s">
        <v>78</v>
      </c>
      <c r="K218" s="4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 s="4">
        <v>22081</v>
      </c>
      <c r="G219" s="4">
        <v>84</v>
      </c>
      <c r="H219" s="4">
        <v>0</v>
      </c>
      <c r="I219" t="s">
        <v>39</v>
      </c>
      <c r="J219" t="s">
        <v>24</v>
      </c>
      <c r="K219" s="4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 s="4">
        <v>0</v>
      </c>
      <c r="G220" s="4">
        <v>112</v>
      </c>
      <c r="H220" s="4">
        <v>0</v>
      </c>
      <c r="I220" t="s">
        <v>16</v>
      </c>
      <c r="J220" t="s">
        <v>78</v>
      </c>
      <c r="K220" s="4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 s="4">
        <v>98473</v>
      </c>
      <c r="G221" s="4">
        <v>72</v>
      </c>
      <c r="H221" s="4">
        <v>0</v>
      </c>
      <c r="I221" t="s">
        <v>16</v>
      </c>
      <c r="J221" t="s">
        <v>17</v>
      </c>
      <c r="K221" s="4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5">
        <v>596955.30000000005</v>
      </c>
      <c r="F222" s="4">
        <v>97431</v>
      </c>
      <c r="G222" s="4">
        <v>74</v>
      </c>
      <c r="H222" s="4">
        <v>0</v>
      </c>
      <c r="I222" t="s">
        <v>16</v>
      </c>
      <c r="J222" t="s">
        <v>17</v>
      </c>
      <c r="K222" s="4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5">
        <v>547315.99</v>
      </c>
      <c r="F223" s="4">
        <v>93870</v>
      </c>
      <c r="G223" s="4">
        <v>69</v>
      </c>
      <c r="H223" s="4">
        <v>0</v>
      </c>
      <c r="I223" t="s">
        <v>16</v>
      </c>
      <c r="J223" t="s">
        <v>17</v>
      </c>
      <c r="K223" s="4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 s="4">
        <v>50366</v>
      </c>
      <c r="G224" s="4">
        <v>72</v>
      </c>
      <c r="H224" s="4">
        <v>0</v>
      </c>
      <c r="I224" t="s">
        <v>16</v>
      </c>
      <c r="J224" t="s">
        <v>17</v>
      </c>
      <c r="K224" s="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 s="4">
        <v>34498</v>
      </c>
      <c r="G225" s="4">
        <v>83</v>
      </c>
      <c r="H225" s="4">
        <v>0</v>
      </c>
      <c r="I225" t="s">
        <v>16</v>
      </c>
      <c r="J225" t="s">
        <v>24</v>
      </c>
      <c r="K225" s="4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 s="4">
        <v>16552</v>
      </c>
      <c r="G226" s="4">
        <v>103</v>
      </c>
      <c r="H226" s="4">
        <v>0</v>
      </c>
      <c r="I226" t="s">
        <v>16</v>
      </c>
      <c r="J226" t="s">
        <v>29</v>
      </c>
      <c r="K226" s="4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 s="4">
        <v>26787</v>
      </c>
      <c r="G227" s="4">
        <v>77</v>
      </c>
      <c r="H227" s="4">
        <v>0</v>
      </c>
      <c r="I227" t="s">
        <v>16</v>
      </c>
      <c r="J227" t="s">
        <v>17</v>
      </c>
      <c r="K227" s="4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 s="4">
        <v>0</v>
      </c>
      <c r="G228" s="4">
        <v>74</v>
      </c>
      <c r="H228" s="4">
        <v>0</v>
      </c>
      <c r="I228" t="s">
        <v>16</v>
      </c>
      <c r="J228" t="s">
        <v>24</v>
      </c>
      <c r="K228" s="4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 s="4">
        <v>43860</v>
      </c>
      <c r="G229" s="4">
        <v>65</v>
      </c>
      <c r="H229" s="4">
        <v>0</v>
      </c>
      <c r="I229" t="s">
        <v>28</v>
      </c>
      <c r="J229" t="s">
        <v>17</v>
      </c>
      <c r="K229" s="4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5">
        <v>866861.13</v>
      </c>
      <c r="F230" s="4">
        <v>21474</v>
      </c>
      <c r="G230" s="4">
        <v>114</v>
      </c>
      <c r="H230" s="4">
        <v>36557</v>
      </c>
      <c r="I230" t="s">
        <v>28</v>
      </c>
      <c r="J230" t="s">
        <v>29</v>
      </c>
      <c r="K230" s="4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5">
        <v>496096.54</v>
      </c>
      <c r="F231" s="4">
        <v>18174</v>
      </c>
      <c r="G231" s="4">
        <v>66</v>
      </c>
      <c r="H231" s="4">
        <v>0</v>
      </c>
      <c r="I231" t="s">
        <v>28</v>
      </c>
      <c r="J231" t="s">
        <v>17</v>
      </c>
      <c r="K231" s="4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5">
        <v>550413.9</v>
      </c>
      <c r="F232" s="4">
        <v>0</v>
      </c>
      <c r="G232" s="4">
        <v>73</v>
      </c>
      <c r="H232" s="4">
        <v>0</v>
      </c>
      <c r="I232" t="s">
        <v>28</v>
      </c>
      <c r="J232" t="s">
        <v>17</v>
      </c>
      <c r="K232" s="4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5">
        <v>750745.54</v>
      </c>
      <c r="F233" s="4">
        <v>60920</v>
      </c>
      <c r="G233" s="4">
        <v>64</v>
      </c>
      <c r="H233" s="4">
        <v>0</v>
      </c>
      <c r="I233" t="s">
        <v>16</v>
      </c>
      <c r="J233" t="s">
        <v>24</v>
      </c>
      <c r="K233" s="4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5">
        <v>3226985.14</v>
      </c>
      <c r="F234" s="4">
        <v>41520</v>
      </c>
      <c r="G234" s="4">
        <v>90</v>
      </c>
      <c r="H234" s="4">
        <v>0</v>
      </c>
      <c r="I234" t="s">
        <v>16</v>
      </c>
      <c r="J234" t="s">
        <v>17</v>
      </c>
      <c r="K234" s="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5">
        <v>565703.16</v>
      </c>
      <c r="F235" s="4">
        <v>0</v>
      </c>
      <c r="G235" s="4">
        <v>152</v>
      </c>
      <c r="H235" s="4">
        <v>0</v>
      </c>
      <c r="I235" t="s">
        <v>16</v>
      </c>
      <c r="J235" t="s">
        <v>29</v>
      </c>
      <c r="K235" s="4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5">
        <v>506175.79</v>
      </c>
      <c r="F236" s="4">
        <v>0</v>
      </c>
      <c r="G236" s="4">
        <v>68</v>
      </c>
      <c r="H236" s="4">
        <v>0</v>
      </c>
      <c r="I236" t="s">
        <v>16</v>
      </c>
      <c r="J236" t="s">
        <v>24</v>
      </c>
      <c r="K236" s="4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5">
        <v>591278.38</v>
      </c>
      <c r="F237" s="4">
        <v>72208</v>
      </c>
      <c r="G237" s="4">
        <v>73</v>
      </c>
      <c r="H237" s="4">
        <v>0</v>
      </c>
      <c r="I237" t="s">
        <v>16</v>
      </c>
      <c r="J237" t="s">
        <v>24</v>
      </c>
      <c r="K237" s="4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5">
        <v>1518227.98</v>
      </c>
      <c r="F238" s="4">
        <v>53863</v>
      </c>
      <c r="G238" s="4">
        <v>63</v>
      </c>
      <c r="H238" s="4">
        <v>0</v>
      </c>
      <c r="I238" t="s">
        <v>16</v>
      </c>
      <c r="J238" t="s">
        <v>17</v>
      </c>
      <c r="K238" s="4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 s="4">
        <v>66446</v>
      </c>
      <c r="G239" s="4">
        <v>136</v>
      </c>
      <c r="H239" s="4">
        <v>0</v>
      </c>
      <c r="I239" t="s">
        <v>28</v>
      </c>
      <c r="J239" t="s">
        <v>29</v>
      </c>
      <c r="K239" s="4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 s="4">
        <v>0</v>
      </c>
      <c r="G240" s="4">
        <v>61</v>
      </c>
      <c r="H240" s="4">
        <v>0</v>
      </c>
      <c r="I240" t="s">
        <v>16</v>
      </c>
      <c r="J240" t="s">
        <v>17</v>
      </c>
      <c r="K240" s="4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5">
        <v>246544.49</v>
      </c>
      <c r="F241" s="4">
        <v>64997</v>
      </c>
      <c r="G241" s="4">
        <v>63</v>
      </c>
      <c r="H241" s="4">
        <v>36526</v>
      </c>
      <c r="I241" t="s">
        <v>16</v>
      </c>
      <c r="J241" t="s">
        <v>17</v>
      </c>
      <c r="K241" s="4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 s="4">
        <v>64460</v>
      </c>
      <c r="G242" s="4">
        <v>66</v>
      </c>
      <c r="H242" s="4">
        <v>0</v>
      </c>
      <c r="I242" t="s">
        <v>28</v>
      </c>
      <c r="J242" t="s">
        <v>24</v>
      </c>
      <c r="K242" s="4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5">
        <v>811982.91</v>
      </c>
      <c r="F243" s="4">
        <v>46618</v>
      </c>
      <c r="G243" s="4">
        <v>67</v>
      </c>
      <c r="H243" s="4">
        <v>0</v>
      </c>
      <c r="I243" t="s">
        <v>16</v>
      </c>
      <c r="J243" t="s">
        <v>17</v>
      </c>
      <c r="K243" s="4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 s="4">
        <v>0</v>
      </c>
      <c r="G244" s="4">
        <v>64</v>
      </c>
      <c r="H244" s="4">
        <v>0</v>
      </c>
      <c r="I244" t="s">
        <v>28</v>
      </c>
      <c r="J244" t="s">
        <v>17</v>
      </c>
      <c r="K244" s="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 s="4">
        <v>49988</v>
      </c>
      <c r="G245" s="4">
        <v>84</v>
      </c>
      <c r="H245" s="4">
        <v>36647</v>
      </c>
      <c r="I245" t="s">
        <v>16</v>
      </c>
      <c r="J245" t="s">
        <v>24</v>
      </c>
      <c r="K245" s="4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 s="4">
        <v>0</v>
      </c>
      <c r="G246" s="4">
        <v>91</v>
      </c>
      <c r="H246" s="4">
        <v>36647</v>
      </c>
      <c r="I246" t="s">
        <v>16</v>
      </c>
      <c r="J246" t="s">
        <v>24</v>
      </c>
      <c r="K246" s="4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5">
        <v>321107</v>
      </c>
      <c r="F247" s="4">
        <v>16269</v>
      </c>
      <c r="G247" s="4">
        <v>86</v>
      </c>
      <c r="H247" s="4">
        <v>0</v>
      </c>
      <c r="I247" t="s">
        <v>28</v>
      </c>
      <c r="J247" t="s">
        <v>24</v>
      </c>
      <c r="K247" s="4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5">
        <v>509452.23</v>
      </c>
      <c r="F248" s="4">
        <v>72006</v>
      </c>
      <c r="G248" s="4">
        <v>64</v>
      </c>
      <c r="H248" s="4">
        <v>0</v>
      </c>
      <c r="I248" t="s">
        <v>16</v>
      </c>
      <c r="J248" t="s">
        <v>17</v>
      </c>
      <c r="K248" s="4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5">
        <v>2575527.8199999998</v>
      </c>
      <c r="F249" s="4">
        <v>0</v>
      </c>
      <c r="G249" s="4">
        <v>81</v>
      </c>
      <c r="H249" s="4">
        <v>36557</v>
      </c>
      <c r="I249" t="s">
        <v>16</v>
      </c>
      <c r="J249" t="s">
        <v>17</v>
      </c>
      <c r="K249" s="4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5">
        <v>867222.97</v>
      </c>
      <c r="F250" s="4">
        <v>0</v>
      </c>
      <c r="G250" s="4">
        <v>245</v>
      </c>
      <c r="H250" s="4">
        <v>0</v>
      </c>
      <c r="I250" t="s">
        <v>28</v>
      </c>
      <c r="J250" t="s">
        <v>65</v>
      </c>
      <c r="K250" s="4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5">
        <v>804473.07</v>
      </c>
      <c r="F251" s="4">
        <v>44320</v>
      </c>
      <c r="G251" s="4">
        <v>67</v>
      </c>
      <c r="H251" s="4">
        <v>0</v>
      </c>
      <c r="I251" t="s">
        <v>16</v>
      </c>
      <c r="J251" t="s">
        <v>17</v>
      </c>
      <c r="K251" s="4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5">
        <v>400151.91</v>
      </c>
      <c r="F252" s="4">
        <v>19782</v>
      </c>
      <c r="G252" s="4">
        <v>108</v>
      </c>
      <c r="H252" s="4">
        <v>0</v>
      </c>
      <c r="I252" t="s">
        <v>16</v>
      </c>
      <c r="J252" t="s">
        <v>24</v>
      </c>
      <c r="K252" s="4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5">
        <v>1670611.7</v>
      </c>
      <c r="F253" s="4">
        <v>63933</v>
      </c>
      <c r="G253" s="4">
        <v>70</v>
      </c>
      <c r="H253" s="4">
        <v>0</v>
      </c>
      <c r="I253" t="s">
        <v>16</v>
      </c>
      <c r="J253" t="s">
        <v>24</v>
      </c>
      <c r="K253" s="4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5">
        <v>854441.11</v>
      </c>
      <c r="F254" s="4">
        <v>28224</v>
      </c>
      <c r="G254" s="4">
        <v>109</v>
      </c>
      <c r="H254" s="4">
        <v>0</v>
      </c>
      <c r="I254" t="s">
        <v>16</v>
      </c>
      <c r="J254" t="s">
        <v>29</v>
      </c>
      <c r="K254" s="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5">
        <v>780531.29</v>
      </c>
      <c r="F255" s="4">
        <v>21073</v>
      </c>
      <c r="G255" s="4">
        <v>106</v>
      </c>
      <c r="H255" s="4">
        <v>36526</v>
      </c>
      <c r="I255" t="s">
        <v>16</v>
      </c>
      <c r="J255" t="s">
        <v>29</v>
      </c>
      <c r="K255" s="4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5">
        <v>611275.68999999994</v>
      </c>
      <c r="F256" s="4">
        <v>63243</v>
      </c>
      <c r="G256" s="4">
        <v>77</v>
      </c>
      <c r="H256" s="4">
        <v>0</v>
      </c>
      <c r="I256" t="s">
        <v>16</v>
      </c>
      <c r="J256" t="s">
        <v>17</v>
      </c>
      <c r="K256" s="4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 s="4">
        <v>20993</v>
      </c>
      <c r="G257" s="4">
        <v>133</v>
      </c>
      <c r="H257" s="4">
        <v>0</v>
      </c>
      <c r="I257" t="s">
        <v>16</v>
      </c>
      <c r="J257" t="s">
        <v>29</v>
      </c>
      <c r="K257" s="4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5">
        <v>1097909.56</v>
      </c>
      <c r="F258" s="4">
        <v>94827</v>
      </c>
      <c r="G258" s="4">
        <v>135</v>
      </c>
      <c r="H258" s="4">
        <v>0</v>
      </c>
      <c r="I258" t="s">
        <v>16</v>
      </c>
      <c r="J258" t="s">
        <v>29</v>
      </c>
      <c r="K258" s="4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5">
        <v>500426.38</v>
      </c>
      <c r="F259" s="4">
        <v>39161</v>
      </c>
      <c r="G259" s="4">
        <v>63</v>
      </c>
      <c r="H259" s="4">
        <v>36526</v>
      </c>
      <c r="I259" t="s">
        <v>16</v>
      </c>
      <c r="J259" t="s">
        <v>24</v>
      </c>
      <c r="K259" s="4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5">
        <v>1322304.3799999999</v>
      </c>
      <c r="F260" s="4">
        <v>37534</v>
      </c>
      <c r="G260" s="4">
        <v>84</v>
      </c>
      <c r="H260" s="4">
        <v>36557</v>
      </c>
      <c r="I260" t="s">
        <v>16</v>
      </c>
      <c r="J260" t="s">
        <v>17</v>
      </c>
      <c r="K260" s="4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5">
        <v>262331.53999999998</v>
      </c>
      <c r="F261" s="4">
        <v>80210</v>
      </c>
      <c r="G261" s="4">
        <v>65</v>
      </c>
      <c r="H261" s="4">
        <v>0</v>
      </c>
      <c r="I261" t="s">
        <v>28</v>
      </c>
      <c r="J261" t="s">
        <v>17</v>
      </c>
      <c r="K261" s="4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5">
        <v>1784019.56</v>
      </c>
      <c r="F262" s="4">
        <v>0</v>
      </c>
      <c r="G262" s="4">
        <v>62</v>
      </c>
      <c r="H262" s="4">
        <v>0</v>
      </c>
      <c r="I262" t="s">
        <v>16</v>
      </c>
      <c r="J262" t="s">
        <v>17</v>
      </c>
      <c r="K262" s="4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5">
        <v>510611.18</v>
      </c>
      <c r="F263" s="4">
        <v>30110</v>
      </c>
      <c r="G263" s="4">
        <v>64</v>
      </c>
      <c r="H263" s="4">
        <v>0</v>
      </c>
      <c r="I263" t="s">
        <v>16</v>
      </c>
      <c r="J263" t="s">
        <v>17</v>
      </c>
      <c r="K263" s="4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5">
        <v>1793060.45</v>
      </c>
      <c r="F264" s="4">
        <v>21708</v>
      </c>
      <c r="G264" s="4">
        <v>68</v>
      </c>
      <c r="H264" s="4">
        <v>0</v>
      </c>
      <c r="I264" t="s">
        <v>16</v>
      </c>
      <c r="J264" t="s">
        <v>17</v>
      </c>
      <c r="K264" s="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5">
        <v>545734.26</v>
      </c>
      <c r="F265" s="4">
        <v>94731</v>
      </c>
      <c r="G265" s="4">
        <v>67</v>
      </c>
      <c r="H265" s="4">
        <v>0</v>
      </c>
      <c r="I265" t="s">
        <v>16</v>
      </c>
      <c r="J265" t="s">
        <v>17</v>
      </c>
      <c r="K265" s="4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5">
        <v>656364.41</v>
      </c>
      <c r="F266" s="4">
        <v>32375</v>
      </c>
      <c r="G266" s="4">
        <v>83</v>
      </c>
      <c r="H266" s="4">
        <v>0</v>
      </c>
      <c r="I266" t="s">
        <v>16</v>
      </c>
      <c r="J266" t="s">
        <v>17</v>
      </c>
      <c r="K266" s="4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 s="4">
        <v>16531</v>
      </c>
      <c r="G267" s="4">
        <v>63</v>
      </c>
      <c r="H267" s="4">
        <v>0</v>
      </c>
      <c r="I267" t="s">
        <v>28</v>
      </c>
      <c r="J267" t="s">
        <v>17</v>
      </c>
      <c r="K267" s="4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5">
        <v>2932804.19</v>
      </c>
      <c r="F268" s="4">
        <v>32006</v>
      </c>
      <c r="G268" s="4">
        <v>94</v>
      </c>
      <c r="H268" s="4">
        <v>0</v>
      </c>
      <c r="I268" t="s">
        <v>28</v>
      </c>
      <c r="J268" t="s">
        <v>17</v>
      </c>
      <c r="K268" s="4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5">
        <v>577352.06999999995</v>
      </c>
      <c r="F269" s="4">
        <v>81676</v>
      </c>
      <c r="G269" s="4">
        <v>72</v>
      </c>
      <c r="H269" s="4">
        <v>0</v>
      </c>
      <c r="I269" t="s">
        <v>16</v>
      </c>
      <c r="J269" t="s">
        <v>24</v>
      </c>
      <c r="K269" s="4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 s="4">
        <v>71038</v>
      </c>
      <c r="G270" s="4">
        <v>86</v>
      </c>
      <c r="H270" s="4">
        <v>0</v>
      </c>
      <c r="I270" t="s">
        <v>28</v>
      </c>
      <c r="J270" t="s">
        <v>17</v>
      </c>
      <c r="K270" s="4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5">
        <v>359531.29</v>
      </c>
      <c r="F271" s="4">
        <v>0</v>
      </c>
      <c r="G271" s="4">
        <v>103</v>
      </c>
      <c r="H271" s="4">
        <v>0</v>
      </c>
      <c r="I271" t="s">
        <v>28</v>
      </c>
      <c r="J271" t="s">
        <v>78</v>
      </c>
      <c r="K271" s="4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5">
        <v>2285561.21</v>
      </c>
      <c r="F272" s="4">
        <v>20832</v>
      </c>
      <c r="G272" s="4">
        <v>65</v>
      </c>
      <c r="H272" s="4">
        <v>0</v>
      </c>
      <c r="I272" t="s">
        <v>16</v>
      </c>
      <c r="J272" t="s">
        <v>24</v>
      </c>
      <c r="K272" s="4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 s="4">
        <v>0</v>
      </c>
      <c r="G273" s="4">
        <v>113</v>
      </c>
      <c r="H273" s="4">
        <v>0</v>
      </c>
      <c r="I273" t="s">
        <v>16</v>
      </c>
      <c r="J273" t="s">
        <v>29</v>
      </c>
      <c r="K273" s="4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 s="4">
        <v>52405</v>
      </c>
      <c r="G274" s="4">
        <v>103</v>
      </c>
      <c r="H274" s="4">
        <v>0</v>
      </c>
      <c r="I274" t="s">
        <v>16</v>
      </c>
      <c r="J274" t="s">
        <v>17</v>
      </c>
      <c r="K274" s="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5">
        <v>502963.88</v>
      </c>
      <c r="F275" s="4">
        <v>0</v>
      </c>
      <c r="G275" s="4">
        <v>133</v>
      </c>
      <c r="H275" s="4">
        <v>0</v>
      </c>
      <c r="I275" t="s">
        <v>16</v>
      </c>
      <c r="J275" t="s">
        <v>78</v>
      </c>
      <c r="K275" s="4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5">
        <v>482141.85</v>
      </c>
      <c r="F276" s="4">
        <v>26583</v>
      </c>
      <c r="G276" s="4">
        <v>1005</v>
      </c>
      <c r="H276" s="4">
        <v>36617</v>
      </c>
      <c r="I276" t="s">
        <v>16</v>
      </c>
      <c r="J276" t="s">
        <v>29</v>
      </c>
      <c r="K276" s="4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5">
        <v>500431.05</v>
      </c>
      <c r="F277" s="4">
        <v>25486</v>
      </c>
      <c r="G277" s="4">
        <v>65</v>
      </c>
      <c r="H277" s="4">
        <v>0</v>
      </c>
      <c r="I277" t="s">
        <v>39</v>
      </c>
      <c r="J277" t="s">
        <v>24</v>
      </c>
      <c r="K277" s="4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5">
        <v>863005.39</v>
      </c>
      <c r="F278" s="4">
        <v>24065</v>
      </c>
      <c r="G278" s="4">
        <v>111</v>
      </c>
      <c r="H278" s="4">
        <v>0</v>
      </c>
      <c r="I278" t="s">
        <v>28</v>
      </c>
      <c r="J278" t="s">
        <v>17</v>
      </c>
      <c r="K278" s="4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5">
        <v>932208.51</v>
      </c>
      <c r="F279" s="4">
        <v>70435</v>
      </c>
      <c r="G279" s="4">
        <v>116</v>
      </c>
      <c r="H279" s="4">
        <v>0</v>
      </c>
      <c r="I279" t="s">
        <v>16</v>
      </c>
      <c r="J279" t="s">
        <v>17</v>
      </c>
      <c r="K279" s="4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 s="4">
        <v>0</v>
      </c>
      <c r="G280" s="4">
        <v>76</v>
      </c>
      <c r="H280" s="4">
        <v>36557</v>
      </c>
      <c r="I280" t="s">
        <v>16</v>
      </c>
      <c r="J280" t="s">
        <v>24</v>
      </c>
      <c r="K280" s="4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5">
        <v>365253.24</v>
      </c>
      <c r="F281" s="4">
        <v>39679</v>
      </c>
      <c r="G281" s="4">
        <v>92</v>
      </c>
      <c r="H281" s="4">
        <v>0</v>
      </c>
      <c r="I281" t="s">
        <v>16</v>
      </c>
      <c r="J281" t="s">
        <v>24</v>
      </c>
      <c r="K281" s="4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 s="4">
        <v>0</v>
      </c>
      <c r="G282" s="4">
        <v>89</v>
      </c>
      <c r="H282" s="4">
        <v>0</v>
      </c>
      <c r="I282" t="s">
        <v>16</v>
      </c>
      <c r="J282" t="s">
        <v>17</v>
      </c>
      <c r="K282" s="4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5">
        <v>437608.4</v>
      </c>
      <c r="F283" s="4">
        <v>0</v>
      </c>
      <c r="G283" s="4">
        <v>69</v>
      </c>
      <c r="H283" s="4">
        <v>36617</v>
      </c>
      <c r="I283" t="s">
        <v>16</v>
      </c>
      <c r="J283" t="s">
        <v>24</v>
      </c>
      <c r="K283" s="4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 s="4">
        <v>53565</v>
      </c>
      <c r="G284" s="4">
        <v>71</v>
      </c>
      <c r="H284" s="4">
        <v>36526</v>
      </c>
      <c r="I284" t="s">
        <v>16</v>
      </c>
      <c r="J284" t="s">
        <v>17</v>
      </c>
      <c r="K284" s="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5">
        <v>257651.3</v>
      </c>
      <c r="F285" s="4">
        <v>37574</v>
      </c>
      <c r="G285" s="4">
        <v>66</v>
      </c>
      <c r="H285" s="4">
        <v>36526</v>
      </c>
      <c r="I285" t="s">
        <v>16</v>
      </c>
      <c r="J285" t="s">
        <v>24</v>
      </c>
      <c r="K285" s="4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5">
        <v>834698.32</v>
      </c>
      <c r="F286" s="4">
        <v>48259</v>
      </c>
      <c r="G286" s="4">
        <v>108</v>
      </c>
      <c r="H286" s="4">
        <v>0</v>
      </c>
      <c r="I286" t="s">
        <v>16</v>
      </c>
      <c r="J286" t="s">
        <v>24</v>
      </c>
      <c r="K286" s="4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5">
        <v>632392.39</v>
      </c>
      <c r="F287" s="4">
        <v>78532</v>
      </c>
      <c r="G287" s="4">
        <v>78</v>
      </c>
      <c r="H287" s="4">
        <v>0</v>
      </c>
      <c r="I287" t="s">
        <v>16</v>
      </c>
      <c r="J287" t="s">
        <v>17</v>
      </c>
      <c r="K287" s="4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5">
        <v>597314.34</v>
      </c>
      <c r="F288" s="4">
        <v>96163</v>
      </c>
      <c r="G288" s="4">
        <v>73</v>
      </c>
      <c r="H288" s="4">
        <v>0</v>
      </c>
      <c r="I288" t="s">
        <v>28</v>
      </c>
      <c r="J288" t="s">
        <v>17</v>
      </c>
      <c r="K288" s="4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5">
        <v>470667.7</v>
      </c>
      <c r="F289" s="4">
        <v>0</v>
      </c>
      <c r="G289" s="4">
        <v>72</v>
      </c>
      <c r="H289" s="4">
        <v>0</v>
      </c>
      <c r="I289" t="s">
        <v>16</v>
      </c>
      <c r="J289" t="s">
        <v>17</v>
      </c>
      <c r="K289" s="4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 s="4">
        <v>0</v>
      </c>
      <c r="G290" s="4">
        <v>114</v>
      </c>
      <c r="H290" s="4">
        <v>36526</v>
      </c>
      <c r="I290" t="s">
        <v>16</v>
      </c>
      <c r="J290" t="s">
        <v>78</v>
      </c>
      <c r="K290" s="4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 s="4">
        <v>72672</v>
      </c>
      <c r="G291" s="4">
        <v>63</v>
      </c>
      <c r="H291" s="4">
        <v>0</v>
      </c>
      <c r="I291" t="s">
        <v>16</v>
      </c>
      <c r="J291" t="s">
        <v>17</v>
      </c>
      <c r="K291" s="4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5">
        <v>902786.72</v>
      </c>
      <c r="F292" s="4">
        <v>99002</v>
      </c>
      <c r="G292" s="4">
        <v>112</v>
      </c>
      <c r="H292" s="4">
        <v>36526</v>
      </c>
      <c r="I292" t="s">
        <v>16</v>
      </c>
      <c r="J292" t="s">
        <v>17</v>
      </c>
      <c r="K292" s="4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 s="4">
        <v>79494</v>
      </c>
      <c r="G293" s="4">
        <v>91</v>
      </c>
      <c r="H293" s="4">
        <v>0</v>
      </c>
      <c r="I293" t="s">
        <v>16</v>
      </c>
      <c r="J293" t="s">
        <v>17</v>
      </c>
      <c r="K293" s="4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5">
        <v>1804247.94</v>
      </c>
      <c r="F294" s="4">
        <v>35704</v>
      </c>
      <c r="G294" s="4">
        <v>225</v>
      </c>
      <c r="H294" s="4">
        <v>0</v>
      </c>
      <c r="I294" t="s">
        <v>16</v>
      </c>
      <c r="J294" t="s">
        <v>117</v>
      </c>
      <c r="K294" s="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5">
        <v>499206.3</v>
      </c>
      <c r="F295" s="4">
        <v>0</v>
      </c>
      <c r="G295" s="4">
        <v>71</v>
      </c>
      <c r="H295" s="4">
        <v>0</v>
      </c>
      <c r="I295" t="s">
        <v>28</v>
      </c>
      <c r="J295" t="s">
        <v>17</v>
      </c>
      <c r="K295" s="4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5">
        <v>910226.78</v>
      </c>
      <c r="F296" s="4">
        <v>26049</v>
      </c>
      <c r="G296" s="4">
        <v>118</v>
      </c>
      <c r="H296" s="4">
        <v>0</v>
      </c>
      <c r="I296" t="s">
        <v>16</v>
      </c>
      <c r="J296" t="s">
        <v>24</v>
      </c>
      <c r="K296" s="4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5">
        <v>254040.77</v>
      </c>
      <c r="F297" s="4">
        <v>70125</v>
      </c>
      <c r="G297" s="4">
        <v>64</v>
      </c>
      <c r="H297" s="4">
        <v>0</v>
      </c>
      <c r="I297" t="s">
        <v>39</v>
      </c>
      <c r="J297" t="s">
        <v>17</v>
      </c>
      <c r="K297" s="4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 s="4">
        <v>52369</v>
      </c>
      <c r="G298" s="4">
        <v>110</v>
      </c>
      <c r="H298" s="4">
        <v>36526</v>
      </c>
      <c r="I298" t="s">
        <v>16</v>
      </c>
      <c r="J298" t="s">
        <v>29</v>
      </c>
      <c r="K298" s="4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5">
        <v>236534.86</v>
      </c>
      <c r="F299" s="4">
        <v>0</v>
      </c>
      <c r="G299" s="4">
        <v>66</v>
      </c>
      <c r="H299" s="4">
        <v>36557</v>
      </c>
      <c r="I299" t="s">
        <v>39</v>
      </c>
      <c r="J299" t="s">
        <v>17</v>
      </c>
      <c r="K299" s="4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5">
        <v>572076.51</v>
      </c>
      <c r="F300" s="4">
        <v>41770</v>
      </c>
      <c r="G300" s="4">
        <v>72</v>
      </c>
      <c r="H300" s="4">
        <v>0</v>
      </c>
      <c r="I300" t="s">
        <v>16</v>
      </c>
      <c r="J300" t="s">
        <v>17</v>
      </c>
      <c r="K300" s="4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 s="4">
        <v>0</v>
      </c>
      <c r="G301" s="4">
        <v>101</v>
      </c>
      <c r="H301" s="4">
        <v>0</v>
      </c>
      <c r="I301" t="s">
        <v>28</v>
      </c>
      <c r="J301" t="s">
        <v>17</v>
      </c>
      <c r="K301" s="4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 s="4">
        <v>31911</v>
      </c>
      <c r="G302" s="4">
        <v>67</v>
      </c>
      <c r="H302" s="4">
        <v>0</v>
      </c>
      <c r="I302" t="s">
        <v>16</v>
      </c>
      <c r="J302" t="s">
        <v>17</v>
      </c>
      <c r="K302" s="4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5">
        <v>539583.19999999995</v>
      </c>
      <c r="F303" s="4">
        <v>70051</v>
      </c>
      <c r="G303" s="4">
        <v>68</v>
      </c>
      <c r="H303" s="4">
        <v>0</v>
      </c>
      <c r="I303" t="s">
        <v>28</v>
      </c>
      <c r="J303" t="s">
        <v>17</v>
      </c>
      <c r="K303" s="4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 s="4">
        <v>19683</v>
      </c>
      <c r="G304" s="4">
        <v>117</v>
      </c>
      <c r="H304" s="4">
        <v>36526</v>
      </c>
      <c r="I304" t="s">
        <v>16</v>
      </c>
      <c r="J304" t="s">
        <v>78</v>
      </c>
      <c r="K304" s="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5">
        <v>3116174.52</v>
      </c>
      <c r="F305" s="4">
        <v>30916</v>
      </c>
      <c r="G305" s="4">
        <v>112</v>
      </c>
      <c r="H305" s="4">
        <v>0</v>
      </c>
      <c r="I305" t="s">
        <v>16</v>
      </c>
      <c r="J305" t="s">
        <v>29</v>
      </c>
      <c r="K305" s="4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5">
        <v>288774.23</v>
      </c>
      <c r="F306" s="4">
        <v>0</v>
      </c>
      <c r="G306" s="4">
        <v>80</v>
      </c>
      <c r="H306" s="4">
        <v>0</v>
      </c>
      <c r="I306" t="s">
        <v>16</v>
      </c>
      <c r="J306" t="s">
        <v>17</v>
      </c>
      <c r="K306" s="4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5">
        <v>742584.53</v>
      </c>
      <c r="F307" s="4">
        <v>84302</v>
      </c>
      <c r="G307" s="4">
        <v>62</v>
      </c>
      <c r="H307" s="4">
        <v>0</v>
      </c>
      <c r="I307" t="s">
        <v>16</v>
      </c>
      <c r="J307" t="s">
        <v>17</v>
      </c>
      <c r="K307" s="4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5">
        <v>2558572.7799999998</v>
      </c>
      <c r="F308" s="4">
        <v>0</v>
      </c>
      <c r="G308" s="4">
        <v>116</v>
      </c>
      <c r="H308" s="4">
        <v>0</v>
      </c>
      <c r="I308" t="s">
        <v>28</v>
      </c>
      <c r="J308" t="s">
        <v>29</v>
      </c>
      <c r="K308" s="4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 s="4">
        <v>60145</v>
      </c>
      <c r="G309" s="4">
        <v>132</v>
      </c>
      <c r="H309" s="4">
        <v>0</v>
      </c>
      <c r="I309" t="s">
        <v>16</v>
      </c>
      <c r="J309" t="s">
        <v>29</v>
      </c>
      <c r="K309" s="4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5">
        <v>437636.36</v>
      </c>
      <c r="F310" s="4">
        <v>63774</v>
      </c>
      <c r="G310" s="4">
        <v>111</v>
      </c>
      <c r="H310" s="4">
        <v>0</v>
      </c>
      <c r="I310" t="s">
        <v>16</v>
      </c>
      <c r="J310" t="s">
        <v>17</v>
      </c>
      <c r="K310" s="4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5">
        <v>531889.66</v>
      </c>
      <c r="F311" s="4">
        <v>25134</v>
      </c>
      <c r="G311" s="4">
        <v>67</v>
      </c>
      <c r="H311" s="4">
        <v>0</v>
      </c>
      <c r="I311" t="s">
        <v>28</v>
      </c>
      <c r="J311" t="s">
        <v>17</v>
      </c>
      <c r="K311" s="4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5">
        <v>471976.22</v>
      </c>
      <c r="F312" s="4">
        <v>37057</v>
      </c>
      <c r="G312" s="4">
        <v>61</v>
      </c>
      <c r="H312" s="4">
        <v>36526</v>
      </c>
      <c r="I312" t="s">
        <v>16</v>
      </c>
      <c r="J312" t="s">
        <v>17</v>
      </c>
      <c r="K312" s="4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5">
        <v>442803.16</v>
      </c>
      <c r="F313" s="4">
        <v>58577</v>
      </c>
      <c r="G313" s="4">
        <v>110</v>
      </c>
      <c r="H313" s="4">
        <v>0</v>
      </c>
      <c r="I313" t="s">
        <v>16</v>
      </c>
      <c r="J313" t="s">
        <v>29</v>
      </c>
      <c r="K313" s="4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 s="4">
        <v>85857</v>
      </c>
      <c r="G314" s="4">
        <v>73</v>
      </c>
      <c r="H314" s="4">
        <v>0</v>
      </c>
      <c r="I314" t="s">
        <v>28</v>
      </c>
      <c r="J314" t="s">
        <v>17</v>
      </c>
      <c r="K314" s="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5">
        <v>941690.85</v>
      </c>
      <c r="F315" s="4">
        <v>70602</v>
      </c>
      <c r="G315" s="4">
        <v>116</v>
      </c>
      <c r="H315" s="4">
        <v>0</v>
      </c>
      <c r="I315" t="s">
        <v>16</v>
      </c>
      <c r="J315" t="s">
        <v>29</v>
      </c>
      <c r="K315" s="4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5">
        <v>828815.56</v>
      </c>
      <c r="F316" s="4">
        <v>33816</v>
      </c>
      <c r="G316" s="4">
        <v>106</v>
      </c>
      <c r="H316" s="4">
        <v>36557</v>
      </c>
      <c r="I316" t="s">
        <v>28</v>
      </c>
      <c r="J316" t="s">
        <v>17</v>
      </c>
      <c r="K316" s="4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5">
        <v>3265483.83</v>
      </c>
      <c r="F317" s="4">
        <v>0</v>
      </c>
      <c r="G317" s="4">
        <v>153</v>
      </c>
      <c r="H317" s="4">
        <v>0</v>
      </c>
      <c r="I317" t="s">
        <v>16</v>
      </c>
      <c r="J317" t="s">
        <v>29</v>
      </c>
      <c r="K317" s="4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5">
        <v>471945.01</v>
      </c>
      <c r="F318" s="4">
        <v>89642</v>
      </c>
      <c r="G318" s="4">
        <v>121</v>
      </c>
      <c r="H318" s="4">
        <v>36617</v>
      </c>
      <c r="I318" t="s">
        <v>28</v>
      </c>
      <c r="J318" t="s">
        <v>29</v>
      </c>
      <c r="K318" s="4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5">
        <v>390347.48</v>
      </c>
      <c r="F319" s="4">
        <v>60068</v>
      </c>
      <c r="G319" s="4">
        <v>98</v>
      </c>
      <c r="H319" s="4">
        <v>0</v>
      </c>
      <c r="I319" t="s">
        <v>16</v>
      </c>
      <c r="J319" t="s">
        <v>24</v>
      </c>
      <c r="K319" s="4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5">
        <v>545725.97</v>
      </c>
      <c r="F320" s="4">
        <v>50044</v>
      </c>
      <c r="G320" s="4">
        <v>139</v>
      </c>
      <c r="H320" s="4">
        <v>0</v>
      </c>
      <c r="I320" t="s">
        <v>16</v>
      </c>
      <c r="J320" t="s">
        <v>29</v>
      </c>
      <c r="K320" s="4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5">
        <v>272535.64</v>
      </c>
      <c r="F321" s="4">
        <v>36650</v>
      </c>
      <c r="G321" s="4">
        <v>69</v>
      </c>
      <c r="H321" s="4">
        <v>36526</v>
      </c>
      <c r="I321" t="s">
        <v>16</v>
      </c>
      <c r="J321" t="s">
        <v>17</v>
      </c>
      <c r="K321" s="4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5">
        <v>443397.37</v>
      </c>
      <c r="F322" s="4">
        <v>50653</v>
      </c>
      <c r="G322" s="4">
        <v>110</v>
      </c>
      <c r="H322" s="4">
        <v>0</v>
      </c>
      <c r="I322" t="s">
        <v>28</v>
      </c>
      <c r="J322" t="s">
        <v>29</v>
      </c>
      <c r="K322" s="4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5">
        <v>533246.27</v>
      </c>
      <c r="F323" s="4">
        <v>68931</v>
      </c>
      <c r="G323" s="4">
        <v>66</v>
      </c>
      <c r="H323" s="4">
        <v>0</v>
      </c>
      <c r="I323" t="s">
        <v>16</v>
      </c>
      <c r="J323" t="s">
        <v>17</v>
      </c>
      <c r="K323" s="4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5">
        <v>231509.5</v>
      </c>
      <c r="F324" s="4">
        <v>0</v>
      </c>
      <c r="G324" s="4">
        <v>73</v>
      </c>
      <c r="H324" s="4">
        <v>36526</v>
      </c>
      <c r="I324" t="s">
        <v>28</v>
      </c>
      <c r="J324" t="s">
        <v>17</v>
      </c>
      <c r="K324" s="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5">
        <v>541195.37</v>
      </c>
      <c r="F325" s="4">
        <v>0</v>
      </c>
      <c r="G325" s="4">
        <v>73</v>
      </c>
      <c r="H325" s="4">
        <v>0</v>
      </c>
      <c r="I325" t="s">
        <v>16</v>
      </c>
      <c r="J325" t="s">
        <v>17</v>
      </c>
      <c r="K325" s="4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5">
        <v>958733.23</v>
      </c>
      <c r="F326" s="4">
        <v>39266</v>
      </c>
      <c r="G326" s="4">
        <v>80</v>
      </c>
      <c r="H326" s="4">
        <v>0</v>
      </c>
      <c r="I326" t="s">
        <v>16</v>
      </c>
      <c r="J326" t="s">
        <v>17</v>
      </c>
      <c r="K326" s="4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 s="4">
        <v>0</v>
      </c>
      <c r="G327" s="4">
        <v>102</v>
      </c>
      <c r="H327" s="4">
        <v>0</v>
      </c>
      <c r="I327" t="s">
        <v>16</v>
      </c>
      <c r="J327" t="s">
        <v>29</v>
      </c>
      <c r="K327" s="4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5">
        <v>976494.53</v>
      </c>
      <c r="F328" s="4">
        <v>0</v>
      </c>
      <c r="G328" s="4">
        <v>98</v>
      </c>
      <c r="H328" s="4">
        <v>36526</v>
      </c>
      <c r="I328" t="s">
        <v>16</v>
      </c>
      <c r="J328" t="s">
        <v>17</v>
      </c>
      <c r="K328" s="4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5">
        <v>256715.15</v>
      </c>
      <c r="F329" s="4">
        <v>40864</v>
      </c>
      <c r="G329" s="4">
        <v>65</v>
      </c>
      <c r="H329" s="4">
        <v>0</v>
      </c>
      <c r="I329" t="s">
        <v>28</v>
      </c>
      <c r="J329" t="s">
        <v>17</v>
      </c>
      <c r="K329" s="4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5">
        <v>265062.28000000003</v>
      </c>
      <c r="F330" s="4">
        <v>39035</v>
      </c>
      <c r="G330" s="4">
        <v>68</v>
      </c>
      <c r="H330" s="4">
        <v>0</v>
      </c>
      <c r="I330" t="s">
        <v>16</v>
      </c>
      <c r="J330" t="s">
        <v>17</v>
      </c>
      <c r="K330" s="4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5">
        <v>1126436.33</v>
      </c>
      <c r="F331" s="4">
        <v>34923</v>
      </c>
      <c r="G331" s="4">
        <v>98</v>
      </c>
      <c r="H331" s="4">
        <v>0</v>
      </c>
      <c r="I331" t="s">
        <v>16</v>
      </c>
      <c r="J331" t="s">
        <v>24</v>
      </c>
      <c r="K331" s="4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 s="4">
        <v>0</v>
      </c>
      <c r="G332" s="4">
        <v>63</v>
      </c>
      <c r="H332" s="4">
        <v>0</v>
      </c>
      <c r="I332" t="s">
        <v>16</v>
      </c>
      <c r="J332" t="s">
        <v>17</v>
      </c>
      <c r="K332" s="4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5">
        <v>861066.75</v>
      </c>
      <c r="F333" s="4">
        <v>0</v>
      </c>
      <c r="G333" s="4">
        <v>111</v>
      </c>
      <c r="H333" s="4">
        <v>0</v>
      </c>
      <c r="I333" t="s">
        <v>28</v>
      </c>
      <c r="J333" t="s">
        <v>29</v>
      </c>
      <c r="K333" s="4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5">
        <v>283464.62</v>
      </c>
      <c r="F334" s="4">
        <v>24506</v>
      </c>
      <c r="G334" s="4">
        <v>71</v>
      </c>
      <c r="H334" s="4">
        <v>0</v>
      </c>
      <c r="I334" t="s">
        <v>16</v>
      </c>
      <c r="J334" t="s">
        <v>24</v>
      </c>
      <c r="K334" s="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 s="4">
        <v>0</v>
      </c>
      <c r="G335" s="4">
        <v>82</v>
      </c>
      <c r="H335" s="4">
        <v>0</v>
      </c>
      <c r="I335" t="s">
        <v>16</v>
      </c>
      <c r="J335" t="s">
        <v>17</v>
      </c>
      <c r="K335" s="4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5">
        <v>553638.69999999995</v>
      </c>
      <c r="F336" s="4">
        <v>52220</v>
      </c>
      <c r="G336" s="4">
        <v>70</v>
      </c>
      <c r="H336" s="4">
        <v>36526</v>
      </c>
      <c r="I336" t="s">
        <v>16</v>
      </c>
      <c r="J336" t="s">
        <v>17</v>
      </c>
      <c r="K336" s="4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5">
        <v>284085.43</v>
      </c>
      <c r="F337" s="4">
        <v>0</v>
      </c>
      <c r="G337" s="4">
        <v>74</v>
      </c>
      <c r="H337" s="4">
        <v>0</v>
      </c>
      <c r="I337" t="s">
        <v>16</v>
      </c>
      <c r="J337" t="s">
        <v>24</v>
      </c>
      <c r="K337" s="4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 s="4">
        <v>53554</v>
      </c>
      <c r="G338" s="4">
        <v>67</v>
      </c>
      <c r="H338" s="4">
        <v>0</v>
      </c>
      <c r="I338" t="s">
        <v>16</v>
      </c>
      <c r="J338" t="s">
        <v>17</v>
      </c>
      <c r="K338" s="4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5">
        <v>525473.43000000005</v>
      </c>
      <c r="F339" s="4">
        <v>34476</v>
      </c>
      <c r="G339" s="4">
        <v>67</v>
      </c>
      <c r="H339" s="4">
        <v>36526</v>
      </c>
      <c r="I339" t="s">
        <v>28</v>
      </c>
      <c r="J339" t="s">
        <v>17</v>
      </c>
      <c r="K339" s="4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5">
        <v>511623.76</v>
      </c>
      <c r="F340" s="4">
        <v>0</v>
      </c>
      <c r="G340" s="4">
        <v>70</v>
      </c>
      <c r="H340" s="4">
        <v>0</v>
      </c>
      <c r="I340" t="s">
        <v>16</v>
      </c>
      <c r="J340" t="s">
        <v>17</v>
      </c>
      <c r="K340" s="4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 s="4">
        <v>68205</v>
      </c>
      <c r="G341" s="4">
        <v>76</v>
      </c>
      <c r="H341" s="4">
        <v>0</v>
      </c>
      <c r="I341" t="s">
        <v>16</v>
      </c>
      <c r="J341" t="s">
        <v>24</v>
      </c>
      <c r="K341" s="4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 s="4">
        <v>0</v>
      </c>
      <c r="G342" s="4">
        <v>119</v>
      </c>
      <c r="H342" s="4">
        <v>36526</v>
      </c>
      <c r="I342" t="s">
        <v>16</v>
      </c>
      <c r="J342" t="s">
        <v>29</v>
      </c>
      <c r="K342" s="4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 s="4">
        <v>53690</v>
      </c>
      <c r="G343" s="4">
        <v>154</v>
      </c>
      <c r="H343" s="4">
        <v>0</v>
      </c>
      <c r="I343" t="s">
        <v>16</v>
      </c>
      <c r="J343" t="s">
        <v>29</v>
      </c>
      <c r="K343" s="4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 s="4">
        <v>0</v>
      </c>
      <c r="G344" s="4">
        <v>72</v>
      </c>
      <c r="H344" s="4">
        <v>0</v>
      </c>
      <c r="I344" t="s">
        <v>16</v>
      </c>
      <c r="J344" t="s">
        <v>17</v>
      </c>
      <c r="K344" s="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 s="4">
        <v>0</v>
      </c>
      <c r="G345" s="4">
        <v>61</v>
      </c>
      <c r="H345" s="4">
        <v>0</v>
      </c>
      <c r="I345" t="s">
        <v>16</v>
      </c>
      <c r="J345" t="s">
        <v>17</v>
      </c>
      <c r="K345" s="4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 s="4">
        <v>74454</v>
      </c>
      <c r="G346" s="4">
        <v>71</v>
      </c>
      <c r="H346" s="4">
        <v>0</v>
      </c>
      <c r="I346" t="s">
        <v>16</v>
      </c>
      <c r="J346" t="s">
        <v>17</v>
      </c>
      <c r="K346" s="4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5">
        <v>756282.4</v>
      </c>
      <c r="F347" s="4">
        <v>0</v>
      </c>
      <c r="G347" s="4">
        <v>73</v>
      </c>
      <c r="H347" s="4">
        <v>0</v>
      </c>
      <c r="I347" t="s">
        <v>16</v>
      </c>
      <c r="J347" t="s">
        <v>17</v>
      </c>
      <c r="K347" s="4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 s="4">
        <v>29664</v>
      </c>
      <c r="G348" s="4">
        <v>71</v>
      </c>
      <c r="H348" s="4">
        <v>0</v>
      </c>
      <c r="I348" t="s">
        <v>16</v>
      </c>
      <c r="J348" t="s">
        <v>17</v>
      </c>
      <c r="K348" s="4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5">
        <v>267805.83</v>
      </c>
      <c r="F349" s="4">
        <v>72450</v>
      </c>
      <c r="G349" s="4">
        <v>66</v>
      </c>
      <c r="H349" s="4">
        <v>0</v>
      </c>
      <c r="I349" t="s">
        <v>28</v>
      </c>
      <c r="J349" t="s">
        <v>17</v>
      </c>
      <c r="K349" s="4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5">
        <v>942256.79</v>
      </c>
      <c r="F350" s="4">
        <v>47272</v>
      </c>
      <c r="G350" s="4">
        <v>79</v>
      </c>
      <c r="H350" s="4">
        <v>36586</v>
      </c>
      <c r="I350" t="s">
        <v>16</v>
      </c>
      <c r="J350" t="s">
        <v>17</v>
      </c>
      <c r="K350" s="4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 s="4">
        <v>21585</v>
      </c>
      <c r="G351" s="4">
        <v>92</v>
      </c>
      <c r="H351" s="4">
        <v>0</v>
      </c>
      <c r="I351" t="s">
        <v>28</v>
      </c>
      <c r="J351" t="s">
        <v>17</v>
      </c>
      <c r="K351" s="4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 s="4">
        <v>23827</v>
      </c>
      <c r="G352" s="4">
        <v>106</v>
      </c>
      <c r="H352" s="4">
        <v>36557</v>
      </c>
      <c r="I352" t="s">
        <v>16</v>
      </c>
      <c r="J352" t="s">
        <v>17</v>
      </c>
      <c r="K352" s="4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5">
        <v>2344490.0499999998</v>
      </c>
      <c r="F353" s="4">
        <v>69906</v>
      </c>
      <c r="G353" s="4">
        <v>74</v>
      </c>
      <c r="H353" s="4">
        <v>36557</v>
      </c>
      <c r="I353" t="s">
        <v>28</v>
      </c>
      <c r="J353" t="s">
        <v>17</v>
      </c>
      <c r="K353" s="4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 s="4">
        <v>0</v>
      </c>
      <c r="G354" s="4">
        <v>72</v>
      </c>
      <c r="H354" s="4">
        <v>0</v>
      </c>
      <c r="I354" t="s">
        <v>28</v>
      </c>
      <c r="J354" t="s">
        <v>17</v>
      </c>
      <c r="K354" s="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5">
        <v>265438.09999999998</v>
      </c>
      <c r="F355" s="4">
        <v>73196</v>
      </c>
      <c r="G355" s="4">
        <v>66</v>
      </c>
      <c r="H355" s="4">
        <v>36526</v>
      </c>
      <c r="I355" t="s">
        <v>16</v>
      </c>
      <c r="J355" t="s">
        <v>17</v>
      </c>
      <c r="K355" s="4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5">
        <v>254978.61</v>
      </c>
      <c r="F356" s="4">
        <v>72217</v>
      </c>
      <c r="G356" s="4">
        <v>6464</v>
      </c>
      <c r="H356" s="4">
        <v>0</v>
      </c>
      <c r="I356" t="s">
        <v>16</v>
      </c>
      <c r="J356" t="s">
        <v>17</v>
      </c>
      <c r="K356" s="4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 s="4">
        <v>46131</v>
      </c>
      <c r="G357" s="4">
        <v>74</v>
      </c>
      <c r="H357" s="4">
        <v>0</v>
      </c>
      <c r="I357" t="s">
        <v>16</v>
      </c>
      <c r="J357" t="s">
        <v>24</v>
      </c>
      <c r="K357" s="4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5">
        <v>436312.46</v>
      </c>
      <c r="F358" s="4">
        <v>54514</v>
      </c>
      <c r="G358" s="4">
        <v>109</v>
      </c>
      <c r="H358" s="4">
        <v>36586</v>
      </c>
      <c r="I358" t="s">
        <v>16</v>
      </c>
      <c r="J358" t="s">
        <v>29</v>
      </c>
      <c r="K358" s="4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 s="4">
        <v>0</v>
      </c>
      <c r="G359" s="4">
        <v>161</v>
      </c>
      <c r="H359" s="4">
        <v>0</v>
      </c>
      <c r="I359" t="s">
        <v>16</v>
      </c>
      <c r="J359" t="s">
        <v>29</v>
      </c>
      <c r="K359" s="4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 s="4">
        <v>96668</v>
      </c>
      <c r="G360" s="4">
        <v>66</v>
      </c>
      <c r="H360" s="4">
        <v>0</v>
      </c>
      <c r="I360" t="s">
        <v>16</v>
      </c>
      <c r="J360" t="s">
        <v>17</v>
      </c>
      <c r="K360" s="4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 s="4">
        <v>78879</v>
      </c>
      <c r="G361" s="4">
        <v>69</v>
      </c>
      <c r="H361" s="4">
        <v>36526</v>
      </c>
      <c r="I361" t="s">
        <v>16</v>
      </c>
      <c r="J361" t="s">
        <v>17</v>
      </c>
      <c r="K361" s="4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 s="4">
        <v>0</v>
      </c>
      <c r="G362" s="4">
        <v>69</v>
      </c>
      <c r="H362" s="4">
        <v>0</v>
      </c>
      <c r="I362" t="s">
        <v>16</v>
      </c>
      <c r="J362" t="s">
        <v>17</v>
      </c>
      <c r="K362" s="4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5">
        <v>567805.02</v>
      </c>
      <c r="F363" s="4">
        <v>0</v>
      </c>
      <c r="G363" s="4">
        <v>76</v>
      </c>
      <c r="H363" s="4">
        <v>0</v>
      </c>
      <c r="I363" t="s">
        <v>16</v>
      </c>
      <c r="J363" t="s">
        <v>17</v>
      </c>
      <c r="K363" s="4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5">
        <v>1210120.8799999999</v>
      </c>
      <c r="F364" s="4">
        <v>0</v>
      </c>
      <c r="G364" s="4">
        <v>112</v>
      </c>
      <c r="H364" s="4">
        <v>0</v>
      </c>
      <c r="I364" t="s">
        <v>16</v>
      </c>
      <c r="J364" t="s">
        <v>78</v>
      </c>
      <c r="K364" s="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5">
        <v>245357.08</v>
      </c>
      <c r="F365" s="4">
        <v>29735</v>
      </c>
      <c r="G365" s="4">
        <v>69</v>
      </c>
      <c r="H365" s="4">
        <v>0</v>
      </c>
      <c r="I365" t="s">
        <v>16</v>
      </c>
      <c r="J365" t="s">
        <v>17</v>
      </c>
      <c r="K365" s="4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 s="4">
        <v>23082</v>
      </c>
      <c r="G366" s="4">
        <v>65</v>
      </c>
      <c r="H366" s="4">
        <v>0</v>
      </c>
      <c r="I366" t="s">
        <v>39</v>
      </c>
      <c r="J366" t="s">
        <v>17</v>
      </c>
      <c r="K366" s="4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5">
        <v>321497.94</v>
      </c>
      <c r="F367" s="4">
        <v>53984</v>
      </c>
      <c r="G367" s="4">
        <v>80</v>
      </c>
      <c r="H367" s="4">
        <v>0</v>
      </c>
      <c r="I367" t="s">
        <v>28</v>
      </c>
      <c r="J367" t="s">
        <v>17</v>
      </c>
      <c r="K367" s="4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 s="4">
        <v>52135</v>
      </c>
      <c r="G368" s="4">
        <v>156</v>
      </c>
      <c r="H368" s="4">
        <v>0</v>
      </c>
      <c r="I368" t="s">
        <v>16</v>
      </c>
      <c r="J368" t="s">
        <v>29</v>
      </c>
      <c r="K368" s="4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 s="4">
        <v>17576</v>
      </c>
      <c r="G369" s="4">
        <v>71</v>
      </c>
      <c r="H369" s="4">
        <v>0</v>
      </c>
      <c r="I369" t="s">
        <v>28</v>
      </c>
      <c r="J369" t="s">
        <v>17</v>
      </c>
      <c r="K369" s="4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5">
        <v>245744.09</v>
      </c>
      <c r="F370" s="4">
        <v>29486</v>
      </c>
      <c r="G370" s="4">
        <v>62</v>
      </c>
      <c r="H370" s="4">
        <v>0</v>
      </c>
      <c r="I370" t="s">
        <v>16</v>
      </c>
      <c r="J370" t="s">
        <v>17</v>
      </c>
      <c r="K370" s="4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5">
        <v>355484.53</v>
      </c>
      <c r="F371" s="4">
        <v>58557</v>
      </c>
      <c r="G371" s="4">
        <v>88</v>
      </c>
      <c r="H371" s="4">
        <v>0</v>
      </c>
      <c r="I371" t="s">
        <v>28</v>
      </c>
      <c r="J371" t="s">
        <v>17</v>
      </c>
      <c r="K371" s="4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5">
        <v>492954.97</v>
      </c>
      <c r="F372" s="4">
        <v>25632</v>
      </c>
      <c r="G372" s="4">
        <v>63</v>
      </c>
      <c r="H372" s="4">
        <v>0</v>
      </c>
      <c r="I372" t="s">
        <v>16</v>
      </c>
      <c r="J372" t="s">
        <v>24</v>
      </c>
      <c r="K372" s="4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 s="4">
        <v>0</v>
      </c>
      <c r="G373" s="4">
        <v>112</v>
      </c>
      <c r="H373" s="4">
        <v>0</v>
      </c>
      <c r="I373" t="s">
        <v>16</v>
      </c>
      <c r="J373" t="s">
        <v>78</v>
      </c>
      <c r="K373" s="4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5">
        <v>427691.53</v>
      </c>
      <c r="F374" s="4">
        <v>18768</v>
      </c>
      <c r="G374" s="4">
        <v>68</v>
      </c>
      <c r="H374" s="4">
        <v>36586</v>
      </c>
      <c r="I374" t="s">
        <v>28</v>
      </c>
      <c r="J374" t="s">
        <v>17</v>
      </c>
      <c r="K374" s="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5">
        <v>3347334.95</v>
      </c>
      <c r="F375" s="4">
        <v>33190</v>
      </c>
      <c r="G375" s="4">
        <v>106</v>
      </c>
      <c r="H375" s="4">
        <v>0</v>
      </c>
      <c r="I375" t="s">
        <v>16</v>
      </c>
      <c r="J375" t="s">
        <v>29</v>
      </c>
      <c r="K375" s="4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5">
        <v>596058.14</v>
      </c>
      <c r="F376" s="4">
        <v>47945</v>
      </c>
      <c r="G376" s="4">
        <v>74</v>
      </c>
      <c r="H376" s="4">
        <v>0</v>
      </c>
      <c r="I376" t="s">
        <v>16</v>
      </c>
      <c r="J376" t="s">
        <v>24</v>
      </c>
      <c r="K376" s="4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5">
        <v>4479546.9400000004</v>
      </c>
      <c r="F377" s="4">
        <v>58778</v>
      </c>
      <c r="G377" s="4">
        <v>126</v>
      </c>
      <c r="H377" s="4">
        <v>0</v>
      </c>
      <c r="I377" t="s">
        <v>39</v>
      </c>
      <c r="J377" t="s">
        <v>29</v>
      </c>
      <c r="K377" s="4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 s="4">
        <v>15192</v>
      </c>
      <c r="G378" s="4">
        <v>100</v>
      </c>
      <c r="H378" s="4">
        <v>0</v>
      </c>
      <c r="I378" t="s">
        <v>16</v>
      </c>
      <c r="J378" t="s">
        <v>29</v>
      </c>
      <c r="K378" s="4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5">
        <v>683793.26</v>
      </c>
      <c r="F379" s="4">
        <v>51859</v>
      </c>
      <c r="G379" s="4">
        <v>171</v>
      </c>
      <c r="H379" s="4">
        <v>0</v>
      </c>
      <c r="I379" t="s">
        <v>16</v>
      </c>
      <c r="J379" t="s">
        <v>29</v>
      </c>
      <c r="K379" s="4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 s="4">
        <v>23422</v>
      </c>
      <c r="G380" s="4">
        <v>72</v>
      </c>
      <c r="H380" s="4">
        <v>0</v>
      </c>
      <c r="I380" t="s">
        <v>16</v>
      </c>
      <c r="J380" t="s">
        <v>24</v>
      </c>
      <c r="K380" s="4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 s="4">
        <v>21604</v>
      </c>
      <c r="G381" s="4">
        <v>79</v>
      </c>
      <c r="H381" s="4">
        <v>0</v>
      </c>
      <c r="I381" t="s">
        <v>28</v>
      </c>
      <c r="J381" t="s">
        <v>17</v>
      </c>
      <c r="K381" s="4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5">
        <v>358971.07</v>
      </c>
      <c r="F382" s="4">
        <v>79298</v>
      </c>
      <c r="G382" s="4">
        <v>90</v>
      </c>
      <c r="H382" s="4">
        <v>0</v>
      </c>
      <c r="I382" t="s">
        <v>16</v>
      </c>
      <c r="J382" t="s">
        <v>17</v>
      </c>
      <c r="K382" s="4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5">
        <v>258240.85</v>
      </c>
      <c r="F383" s="4">
        <v>76731</v>
      </c>
      <c r="G383" s="4">
        <v>64</v>
      </c>
      <c r="H383" s="4">
        <v>0</v>
      </c>
      <c r="I383" t="s">
        <v>39</v>
      </c>
      <c r="J383" t="s">
        <v>17</v>
      </c>
      <c r="K383" s="4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5">
        <v>340391.94</v>
      </c>
      <c r="F384" s="4">
        <v>38460</v>
      </c>
      <c r="G384" s="4">
        <v>88</v>
      </c>
      <c r="H384" s="4">
        <v>36526</v>
      </c>
      <c r="I384" t="s">
        <v>16</v>
      </c>
      <c r="J384" t="s">
        <v>17</v>
      </c>
      <c r="K384" s="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5">
        <v>1357567.6</v>
      </c>
      <c r="F385" s="4">
        <v>48534</v>
      </c>
      <c r="G385" s="4">
        <v>115</v>
      </c>
      <c r="H385" s="4">
        <v>36526</v>
      </c>
      <c r="I385" t="s">
        <v>16</v>
      </c>
      <c r="J385" t="s">
        <v>29</v>
      </c>
      <c r="K385" s="4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5">
        <v>343613.43</v>
      </c>
      <c r="F386" s="4">
        <v>30817</v>
      </c>
      <c r="G386" s="4">
        <v>88</v>
      </c>
      <c r="H386" s="4">
        <v>0</v>
      </c>
      <c r="I386" t="s">
        <v>28</v>
      </c>
      <c r="J386" t="s">
        <v>17</v>
      </c>
      <c r="K386" s="4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5">
        <v>2868582.79</v>
      </c>
      <c r="F387" s="4">
        <v>48412</v>
      </c>
      <c r="G387" s="4">
        <v>104</v>
      </c>
      <c r="H387" s="4">
        <v>0</v>
      </c>
      <c r="I387" t="s">
        <v>16</v>
      </c>
      <c r="J387" t="s">
        <v>29</v>
      </c>
      <c r="K387" s="4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5">
        <v>450267.97</v>
      </c>
      <c r="F388" s="4">
        <v>68798</v>
      </c>
      <c r="G388" s="4">
        <v>114</v>
      </c>
      <c r="H388" s="4">
        <v>0</v>
      </c>
      <c r="I388" t="s">
        <v>16</v>
      </c>
      <c r="J388" t="s">
        <v>29</v>
      </c>
      <c r="K388" s="4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5">
        <v>618311.15</v>
      </c>
      <c r="F389" s="4">
        <v>23712</v>
      </c>
      <c r="G389" s="4">
        <v>85</v>
      </c>
      <c r="H389" s="4">
        <v>0</v>
      </c>
      <c r="I389" t="s">
        <v>16</v>
      </c>
      <c r="J389" t="s">
        <v>17</v>
      </c>
      <c r="K389" s="4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 s="4">
        <v>28142</v>
      </c>
      <c r="G390" s="4">
        <v>105</v>
      </c>
      <c r="H390" s="4">
        <v>0</v>
      </c>
      <c r="I390" t="s">
        <v>16</v>
      </c>
      <c r="J390" t="s">
        <v>78</v>
      </c>
      <c r="K390" s="4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5">
        <v>1892933.06</v>
      </c>
      <c r="F391" s="4">
        <v>72196</v>
      </c>
      <c r="G391" s="4">
        <v>68</v>
      </c>
      <c r="H391" s="4">
        <v>0</v>
      </c>
      <c r="I391" t="s">
        <v>16</v>
      </c>
      <c r="J391" t="s">
        <v>17</v>
      </c>
      <c r="K391" s="4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5">
        <v>555329.57999999996</v>
      </c>
      <c r="F392" s="4">
        <v>68197</v>
      </c>
      <c r="G392" s="4">
        <v>69</v>
      </c>
      <c r="H392" s="4">
        <v>0</v>
      </c>
      <c r="I392" t="s">
        <v>16</v>
      </c>
      <c r="J392" t="s">
        <v>17</v>
      </c>
      <c r="K392" s="4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5">
        <v>501125.92</v>
      </c>
      <c r="F393" s="4">
        <v>75248</v>
      </c>
      <c r="G393" s="4">
        <v>63</v>
      </c>
      <c r="H393" s="4">
        <v>0</v>
      </c>
      <c r="I393" t="s">
        <v>28</v>
      </c>
      <c r="J393" t="s">
        <v>17</v>
      </c>
      <c r="K393" s="4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5">
        <v>1044244.63</v>
      </c>
      <c r="F394" s="4">
        <v>0</v>
      </c>
      <c r="G394" s="4">
        <v>98</v>
      </c>
      <c r="H394" s="4">
        <v>0</v>
      </c>
      <c r="I394" t="s">
        <v>16</v>
      </c>
      <c r="J394" t="s">
        <v>17</v>
      </c>
      <c r="K394" s="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5">
        <v>219961.78</v>
      </c>
      <c r="F395" s="4">
        <v>0</v>
      </c>
      <c r="G395" s="4">
        <v>65</v>
      </c>
      <c r="H395" s="4">
        <v>36526</v>
      </c>
      <c r="I395" t="s">
        <v>16</v>
      </c>
      <c r="J395" t="s">
        <v>24</v>
      </c>
      <c r="K395" s="4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5">
        <v>512317.09</v>
      </c>
      <c r="F396" s="4">
        <v>89879</v>
      </c>
      <c r="G396" s="4">
        <v>63</v>
      </c>
      <c r="H396" s="4">
        <v>0</v>
      </c>
      <c r="I396" t="s">
        <v>16</v>
      </c>
      <c r="J396" t="s">
        <v>24</v>
      </c>
      <c r="K396" s="4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 s="4">
        <v>46998</v>
      </c>
      <c r="G397" s="4">
        <v>96</v>
      </c>
      <c r="H397" s="4">
        <v>0</v>
      </c>
      <c r="I397" t="s">
        <v>28</v>
      </c>
      <c r="J397" t="s">
        <v>17</v>
      </c>
      <c r="K397" s="4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5">
        <v>261302.31</v>
      </c>
      <c r="F398" s="4">
        <v>57099</v>
      </c>
      <c r="G398" s="4">
        <v>67</v>
      </c>
      <c r="H398" s="4">
        <v>0</v>
      </c>
      <c r="I398" t="s">
        <v>16</v>
      </c>
      <c r="J398" t="s">
        <v>24</v>
      </c>
      <c r="K398" s="4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5">
        <v>908063.97</v>
      </c>
      <c r="F399" s="4">
        <v>33897</v>
      </c>
      <c r="G399" s="4">
        <v>114</v>
      </c>
      <c r="H399" s="4">
        <v>0</v>
      </c>
      <c r="I399" t="s">
        <v>28</v>
      </c>
      <c r="J399" t="s">
        <v>29</v>
      </c>
      <c r="K399" s="4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5">
        <v>1377097.62</v>
      </c>
      <c r="F400" s="4">
        <v>59207</v>
      </c>
      <c r="G400" s="4">
        <v>116</v>
      </c>
      <c r="H400" s="4">
        <v>0</v>
      </c>
      <c r="I400" t="s">
        <v>16</v>
      </c>
      <c r="J400" t="s">
        <v>17</v>
      </c>
      <c r="K400" s="4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 s="4">
        <v>40171</v>
      </c>
      <c r="G401" s="4">
        <v>73</v>
      </c>
      <c r="H401" s="4">
        <v>0</v>
      </c>
      <c r="I401" t="s">
        <v>16</v>
      </c>
      <c r="J401" t="s">
        <v>17</v>
      </c>
      <c r="K401" s="4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5">
        <v>540891.15</v>
      </c>
      <c r="F402" s="4">
        <v>80192</v>
      </c>
      <c r="G402" s="4">
        <v>67</v>
      </c>
      <c r="H402" s="4">
        <v>0</v>
      </c>
      <c r="I402" t="s">
        <v>16</v>
      </c>
      <c r="J402" t="s">
        <v>17</v>
      </c>
      <c r="K402" s="4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5">
        <v>677030.68</v>
      </c>
      <c r="F403" s="4">
        <v>74422</v>
      </c>
      <c r="G403" s="4">
        <v>85</v>
      </c>
      <c r="H403" s="4">
        <v>36526</v>
      </c>
      <c r="I403" t="s">
        <v>16</v>
      </c>
      <c r="J403" t="s">
        <v>17</v>
      </c>
      <c r="K403" s="4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 s="4">
        <v>0</v>
      </c>
      <c r="G404" s="4">
        <v>87</v>
      </c>
      <c r="H404" s="4">
        <v>0</v>
      </c>
      <c r="I404" t="s">
        <v>39</v>
      </c>
      <c r="J404" t="s">
        <v>17</v>
      </c>
      <c r="K404" s="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5">
        <v>353805.95</v>
      </c>
      <c r="F405" s="4">
        <v>0</v>
      </c>
      <c r="G405" s="4">
        <v>67</v>
      </c>
      <c r="H405" s="4">
        <v>36647</v>
      </c>
      <c r="I405" t="s">
        <v>16</v>
      </c>
      <c r="J405" t="s">
        <v>17</v>
      </c>
      <c r="K405" s="4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5">
        <v>2909123.94</v>
      </c>
      <c r="F406" s="4">
        <v>34226</v>
      </c>
      <c r="G406" s="4">
        <v>244</v>
      </c>
      <c r="H406" s="4">
        <v>0</v>
      </c>
      <c r="I406" t="s">
        <v>16</v>
      </c>
      <c r="J406" t="s">
        <v>65</v>
      </c>
      <c r="K406" s="4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5">
        <v>1983420.12</v>
      </c>
      <c r="F407" s="4">
        <v>65989</v>
      </c>
      <c r="G407" s="4">
        <v>123</v>
      </c>
      <c r="H407" s="4">
        <v>36526</v>
      </c>
      <c r="I407" t="s">
        <v>16</v>
      </c>
      <c r="J407" t="s">
        <v>29</v>
      </c>
      <c r="K407" s="4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 s="4">
        <v>30686</v>
      </c>
      <c r="G408" s="4">
        <v>61</v>
      </c>
      <c r="H408" s="4">
        <v>0</v>
      </c>
      <c r="I408" t="s">
        <v>28</v>
      </c>
      <c r="J408" t="s">
        <v>17</v>
      </c>
      <c r="K408" s="4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5">
        <v>3553784.6</v>
      </c>
      <c r="F409" s="4">
        <v>0</v>
      </c>
      <c r="G409" s="4">
        <v>113</v>
      </c>
      <c r="H409" s="4">
        <v>0</v>
      </c>
      <c r="I409" t="s">
        <v>16</v>
      </c>
      <c r="J409" t="s">
        <v>78</v>
      </c>
      <c r="K409" s="4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5">
        <v>3461137.9</v>
      </c>
      <c r="F410" s="4">
        <v>20090</v>
      </c>
      <c r="G410" s="4">
        <v>109</v>
      </c>
      <c r="H410" s="4">
        <v>0</v>
      </c>
      <c r="I410" t="s">
        <v>16</v>
      </c>
      <c r="J410" t="s">
        <v>78</v>
      </c>
      <c r="K410" s="4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 s="4">
        <v>0</v>
      </c>
      <c r="G411" s="4">
        <v>183</v>
      </c>
      <c r="H411" s="4">
        <v>0</v>
      </c>
      <c r="I411" t="s">
        <v>16</v>
      </c>
      <c r="J411" t="s">
        <v>65</v>
      </c>
      <c r="K411" s="4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 s="4">
        <v>77094</v>
      </c>
      <c r="G412" s="4">
        <v>176</v>
      </c>
      <c r="H412" s="4">
        <v>0</v>
      </c>
      <c r="I412" t="s">
        <v>16</v>
      </c>
      <c r="J412" t="s">
        <v>29</v>
      </c>
      <c r="K412" s="4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5">
        <v>590408.81999999995</v>
      </c>
      <c r="F413" s="4">
        <v>97413</v>
      </c>
      <c r="G413" s="4">
        <v>73</v>
      </c>
      <c r="H413" s="4">
        <v>0</v>
      </c>
      <c r="I413" t="s">
        <v>16</v>
      </c>
      <c r="J413" t="s">
        <v>17</v>
      </c>
      <c r="K413" s="4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5">
        <v>559583.5</v>
      </c>
      <c r="F414" s="4">
        <v>79189</v>
      </c>
      <c r="G414" s="4">
        <v>69</v>
      </c>
      <c r="H414" s="4">
        <v>0</v>
      </c>
      <c r="I414" t="s">
        <v>28</v>
      </c>
      <c r="J414" t="s">
        <v>17</v>
      </c>
      <c r="K414" s="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5">
        <v>229430.36</v>
      </c>
      <c r="F415" s="4">
        <v>0</v>
      </c>
      <c r="G415" s="4">
        <v>62</v>
      </c>
      <c r="H415" s="4">
        <v>0</v>
      </c>
      <c r="I415" t="s">
        <v>16</v>
      </c>
      <c r="J415" t="s">
        <v>24</v>
      </c>
      <c r="K415" s="4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5">
        <v>627391.18999999994</v>
      </c>
      <c r="F416" s="4">
        <v>18577</v>
      </c>
      <c r="G416" s="4">
        <v>86</v>
      </c>
      <c r="H416" s="4">
        <v>0</v>
      </c>
      <c r="I416" t="s">
        <v>16</v>
      </c>
      <c r="J416" t="s">
        <v>17</v>
      </c>
      <c r="K416" s="4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5">
        <v>372672.8</v>
      </c>
      <c r="F417" s="4">
        <v>0</v>
      </c>
      <c r="G417" s="4">
        <v>112</v>
      </c>
      <c r="H417" s="4">
        <v>36526</v>
      </c>
      <c r="I417" t="s">
        <v>39</v>
      </c>
      <c r="J417" t="s">
        <v>78</v>
      </c>
      <c r="K417" s="4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5">
        <v>265671.31</v>
      </c>
      <c r="F418" s="4">
        <v>62777</v>
      </c>
      <c r="G418" s="4">
        <v>67</v>
      </c>
      <c r="H418" s="4">
        <v>0</v>
      </c>
      <c r="I418" t="s">
        <v>16</v>
      </c>
      <c r="J418" t="s">
        <v>24</v>
      </c>
      <c r="K418" s="4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5">
        <v>511068.08</v>
      </c>
      <c r="F419" s="4">
        <v>0</v>
      </c>
      <c r="G419" s="4">
        <v>74</v>
      </c>
      <c r="H419" s="4">
        <v>0</v>
      </c>
      <c r="I419" t="s">
        <v>28</v>
      </c>
      <c r="J419" t="s">
        <v>17</v>
      </c>
      <c r="K419" s="4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 s="4">
        <v>17483</v>
      </c>
      <c r="G420" s="4">
        <v>183</v>
      </c>
      <c r="H420" s="4">
        <v>0</v>
      </c>
      <c r="I420" t="s">
        <v>16</v>
      </c>
      <c r="J420" t="s">
        <v>117</v>
      </c>
      <c r="K420" s="4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5">
        <v>460163.41</v>
      </c>
      <c r="F421" s="4">
        <v>84394</v>
      </c>
      <c r="G421" s="4">
        <v>114</v>
      </c>
      <c r="H421" s="4">
        <v>0</v>
      </c>
      <c r="I421" t="s">
        <v>16</v>
      </c>
      <c r="J421" t="s">
        <v>29</v>
      </c>
      <c r="K421" s="4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 s="4">
        <v>0</v>
      </c>
      <c r="G422" s="4">
        <v>127</v>
      </c>
      <c r="H422" s="4">
        <v>0</v>
      </c>
      <c r="I422" t="s">
        <v>16</v>
      </c>
      <c r="J422" t="s">
        <v>78</v>
      </c>
      <c r="K422" s="4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5">
        <v>1480805.62</v>
      </c>
      <c r="F423" s="4">
        <v>41440</v>
      </c>
      <c r="G423" s="4">
        <v>62</v>
      </c>
      <c r="H423" s="4">
        <v>36526</v>
      </c>
      <c r="I423" t="s">
        <v>16</v>
      </c>
      <c r="J423" t="s">
        <v>17</v>
      </c>
      <c r="K423" s="4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5">
        <v>890167.84</v>
      </c>
      <c r="F424" s="4">
        <v>0</v>
      </c>
      <c r="G424" s="4">
        <v>136</v>
      </c>
      <c r="H424" s="4">
        <v>36526</v>
      </c>
      <c r="I424" t="s">
        <v>16</v>
      </c>
      <c r="J424" t="s">
        <v>78</v>
      </c>
      <c r="K424" s="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5">
        <v>573459.81999999995</v>
      </c>
      <c r="F425" s="4">
        <v>98132</v>
      </c>
      <c r="G425" s="4">
        <v>71</v>
      </c>
      <c r="H425" s="4">
        <v>0</v>
      </c>
      <c r="I425" t="s">
        <v>16</v>
      </c>
      <c r="J425" t="s">
        <v>24</v>
      </c>
      <c r="K425" s="4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5">
        <v>417769.7</v>
      </c>
      <c r="F426" s="4">
        <v>0</v>
      </c>
      <c r="G426" s="4">
        <v>112</v>
      </c>
      <c r="H426" s="4">
        <v>0</v>
      </c>
      <c r="I426" t="s">
        <v>16</v>
      </c>
      <c r="J426" t="s">
        <v>17</v>
      </c>
      <c r="K426" s="4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5">
        <v>2777628.91</v>
      </c>
      <c r="F427" s="4">
        <v>88220</v>
      </c>
      <c r="G427" s="4">
        <v>230</v>
      </c>
      <c r="H427" s="4">
        <v>0</v>
      </c>
      <c r="I427" t="s">
        <v>16</v>
      </c>
      <c r="J427" t="s">
        <v>117</v>
      </c>
      <c r="K427" s="4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5">
        <v>1036434.75</v>
      </c>
      <c r="F428" s="4">
        <v>58327</v>
      </c>
      <c r="G428" s="4">
        <v>129</v>
      </c>
      <c r="H428" s="4">
        <v>0</v>
      </c>
      <c r="I428" t="s">
        <v>16</v>
      </c>
      <c r="J428" t="s">
        <v>29</v>
      </c>
      <c r="K428" s="4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5">
        <v>785190.14</v>
      </c>
      <c r="F429" s="4">
        <v>25950</v>
      </c>
      <c r="G429" s="4">
        <v>66</v>
      </c>
      <c r="H429" s="4">
        <v>0</v>
      </c>
      <c r="I429" t="s">
        <v>16</v>
      </c>
      <c r="J429" t="s">
        <v>24</v>
      </c>
      <c r="K429" s="4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 s="4">
        <v>20993</v>
      </c>
      <c r="G430" s="4">
        <v>133</v>
      </c>
      <c r="H430" s="4">
        <v>0</v>
      </c>
      <c r="I430" t="s">
        <v>28</v>
      </c>
      <c r="J430" t="s">
        <v>29</v>
      </c>
      <c r="K430" s="4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 s="4">
        <v>65726</v>
      </c>
      <c r="G431" s="4">
        <v>177</v>
      </c>
      <c r="H431" s="4">
        <v>0</v>
      </c>
      <c r="I431" t="s">
        <v>28</v>
      </c>
      <c r="J431" t="s">
        <v>29</v>
      </c>
      <c r="K431" s="4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5">
        <v>287543.24</v>
      </c>
      <c r="F432" s="4">
        <v>84768</v>
      </c>
      <c r="G432" s="4">
        <v>72</v>
      </c>
      <c r="H432" s="4">
        <v>0</v>
      </c>
      <c r="I432" t="s">
        <v>16</v>
      </c>
      <c r="J432" t="s">
        <v>24</v>
      </c>
      <c r="K432" s="4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5">
        <v>504129.96</v>
      </c>
      <c r="F433" s="4">
        <v>36234</v>
      </c>
      <c r="G433" s="4">
        <v>63</v>
      </c>
      <c r="H433" s="4">
        <v>0</v>
      </c>
      <c r="I433" t="s">
        <v>16</v>
      </c>
      <c r="J433" t="s">
        <v>17</v>
      </c>
      <c r="K433" s="4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 s="4">
        <v>58842</v>
      </c>
      <c r="G434" s="4">
        <v>110</v>
      </c>
      <c r="H434" s="4">
        <v>0</v>
      </c>
      <c r="I434" t="s">
        <v>16</v>
      </c>
      <c r="J434" t="s">
        <v>17</v>
      </c>
      <c r="K434" s="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5">
        <v>962452.44</v>
      </c>
      <c r="F435" s="4">
        <v>25629</v>
      </c>
      <c r="G435" s="4">
        <v>124</v>
      </c>
      <c r="H435" s="4">
        <v>36557</v>
      </c>
      <c r="I435" t="s">
        <v>28</v>
      </c>
      <c r="J435" t="s">
        <v>78</v>
      </c>
      <c r="K435" s="4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5">
        <v>2191440.5499999998</v>
      </c>
      <c r="F436" s="4">
        <v>77311</v>
      </c>
      <c r="G436" s="4">
        <v>181</v>
      </c>
      <c r="H436" s="4">
        <v>0</v>
      </c>
      <c r="I436" t="s">
        <v>16</v>
      </c>
      <c r="J436" t="s">
        <v>29</v>
      </c>
      <c r="K436" s="4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 s="4">
        <v>0</v>
      </c>
      <c r="G437" s="4">
        <v>196</v>
      </c>
      <c r="H437" s="4">
        <v>36557</v>
      </c>
      <c r="I437" t="s">
        <v>16</v>
      </c>
      <c r="J437" t="s">
        <v>65</v>
      </c>
      <c r="K437" s="4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5">
        <v>247152.84</v>
      </c>
      <c r="F438" s="4">
        <v>95697</v>
      </c>
      <c r="G438" s="4">
        <v>61</v>
      </c>
      <c r="H438" s="4">
        <v>0</v>
      </c>
      <c r="I438" t="s">
        <v>16</v>
      </c>
      <c r="J438" t="s">
        <v>24</v>
      </c>
      <c r="K438" s="4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5">
        <v>2190391.36</v>
      </c>
      <c r="F439" s="4">
        <v>22254</v>
      </c>
      <c r="G439" s="4">
        <v>79</v>
      </c>
      <c r="H439" s="4">
        <v>0</v>
      </c>
      <c r="I439" t="s">
        <v>16</v>
      </c>
      <c r="J439" t="s">
        <v>17</v>
      </c>
      <c r="K439" s="4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 s="4">
        <v>65974</v>
      </c>
      <c r="G440" s="4">
        <v>113</v>
      </c>
      <c r="H440" s="4">
        <v>0</v>
      </c>
      <c r="I440" t="s">
        <v>16</v>
      </c>
      <c r="J440" t="s">
        <v>78</v>
      </c>
      <c r="K440" s="4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5">
        <v>530375.94999999995</v>
      </c>
      <c r="F441" s="4">
        <v>0</v>
      </c>
      <c r="G441" s="4">
        <v>76</v>
      </c>
      <c r="H441" s="4">
        <v>0</v>
      </c>
      <c r="I441" t="s">
        <v>16</v>
      </c>
      <c r="J441" t="s">
        <v>17</v>
      </c>
      <c r="K441" s="4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5">
        <v>2070825.88</v>
      </c>
      <c r="F442" s="4">
        <v>92079</v>
      </c>
      <c r="G442" s="4">
        <v>65</v>
      </c>
      <c r="H442" s="4">
        <v>36526</v>
      </c>
      <c r="I442" t="s">
        <v>28</v>
      </c>
      <c r="J442" t="s">
        <v>17</v>
      </c>
      <c r="K442" s="4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 s="4">
        <v>0</v>
      </c>
      <c r="G443" s="4">
        <v>74</v>
      </c>
      <c r="H443" s="4">
        <v>0</v>
      </c>
      <c r="I443" t="s">
        <v>16</v>
      </c>
      <c r="J443" t="s">
        <v>24</v>
      </c>
      <c r="K443" s="4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 s="4">
        <v>0</v>
      </c>
      <c r="G444" s="4">
        <v>132</v>
      </c>
      <c r="H444" s="4">
        <v>0</v>
      </c>
      <c r="I444" t="s">
        <v>16</v>
      </c>
      <c r="J444" t="s">
        <v>29</v>
      </c>
      <c r="K444" s="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5">
        <v>820486.32</v>
      </c>
      <c r="F445" s="4">
        <v>0</v>
      </c>
      <c r="G445" s="4">
        <v>73</v>
      </c>
      <c r="H445" s="4">
        <v>0</v>
      </c>
      <c r="I445" t="s">
        <v>16</v>
      </c>
      <c r="J445" t="s">
        <v>17</v>
      </c>
      <c r="K445" s="4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5">
        <v>987729.57</v>
      </c>
      <c r="F446" s="4">
        <v>67752</v>
      </c>
      <c r="G446" s="4">
        <v>131</v>
      </c>
      <c r="H446" s="4">
        <v>36617</v>
      </c>
      <c r="I446" t="s">
        <v>16</v>
      </c>
      <c r="J446" t="s">
        <v>78</v>
      </c>
      <c r="K446" s="4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5">
        <v>481500.97</v>
      </c>
      <c r="F447" s="4">
        <v>25398</v>
      </c>
      <c r="G447" s="4">
        <v>64</v>
      </c>
      <c r="H447" s="4">
        <v>0</v>
      </c>
      <c r="I447" t="s">
        <v>28</v>
      </c>
      <c r="J447" t="s">
        <v>17</v>
      </c>
      <c r="K447" s="4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 s="4">
        <v>0</v>
      </c>
      <c r="G448" s="4">
        <v>88</v>
      </c>
      <c r="H448" s="4">
        <v>0</v>
      </c>
      <c r="I448" t="s">
        <v>16</v>
      </c>
      <c r="J448" t="s">
        <v>17</v>
      </c>
      <c r="K448" s="4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 s="4">
        <v>33321</v>
      </c>
      <c r="G449" s="4">
        <v>105</v>
      </c>
      <c r="H449" s="4">
        <v>0</v>
      </c>
      <c r="I449" t="s">
        <v>39</v>
      </c>
      <c r="J449" t="s">
        <v>29</v>
      </c>
      <c r="K449" s="4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5">
        <v>254945</v>
      </c>
      <c r="F450" s="4">
        <v>0</v>
      </c>
      <c r="G450" s="4">
        <v>78</v>
      </c>
      <c r="H450" s="4">
        <v>0</v>
      </c>
      <c r="I450" t="s">
        <v>28</v>
      </c>
      <c r="J450" t="s">
        <v>17</v>
      </c>
      <c r="K450" s="4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5">
        <v>1131808.98</v>
      </c>
      <c r="F451" s="4">
        <v>38923</v>
      </c>
      <c r="G451" s="4">
        <v>99</v>
      </c>
      <c r="H451" s="4">
        <v>36557</v>
      </c>
      <c r="I451" t="s">
        <v>16</v>
      </c>
      <c r="J451" t="s">
        <v>17</v>
      </c>
      <c r="K451" s="4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5">
        <v>380392.18</v>
      </c>
      <c r="F452" s="4">
        <v>20325</v>
      </c>
      <c r="G452" s="4">
        <v>100</v>
      </c>
      <c r="H452" s="4">
        <v>0</v>
      </c>
      <c r="I452" t="s">
        <v>16</v>
      </c>
      <c r="J452" t="s">
        <v>78</v>
      </c>
      <c r="K452" s="4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5">
        <v>863540.35</v>
      </c>
      <c r="F453" s="4">
        <v>13129</v>
      </c>
      <c r="G453" s="4">
        <v>117</v>
      </c>
      <c r="H453" s="4">
        <v>0</v>
      </c>
      <c r="I453" t="s">
        <v>16</v>
      </c>
      <c r="J453" t="s">
        <v>29</v>
      </c>
      <c r="K453" s="4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5">
        <v>551055.9</v>
      </c>
      <c r="F454" s="4">
        <v>0</v>
      </c>
      <c r="G454" s="4">
        <v>73</v>
      </c>
      <c r="H454" s="4">
        <v>0</v>
      </c>
      <c r="I454" t="s">
        <v>16</v>
      </c>
      <c r="J454" t="s">
        <v>17</v>
      </c>
      <c r="K454" s="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5">
        <v>358588.41</v>
      </c>
      <c r="F455" s="4">
        <v>49080</v>
      </c>
      <c r="G455" s="4">
        <v>91</v>
      </c>
      <c r="H455" s="4">
        <v>0</v>
      </c>
      <c r="I455" t="s">
        <v>28</v>
      </c>
      <c r="J455" t="s">
        <v>17</v>
      </c>
      <c r="K455" s="4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 s="4">
        <v>42536</v>
      </c>
      <c r="G456" s="4">
        <v>63</v>
      </c>
      <c r="H456" s="4">
        <v>0</v>
      </c>
      <c r="I456" t="s">
        <v>16</v>
      </c>
      <c r="J456" t="s">
        <v>17</v>
      </c>
      <c r="K456" s="4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5">
        <v>275694.17</v>
      </c>
      <c r="F457" s="4">
        <v>29926</v>
      </c>
      <c r="G457" s="4">
        <v>74</v>
      </c>
      <c r="H457" s="4">
        <v>0</v>
      </c>
      <c r="I457" t="s">
        <v>28</v>
      </c>
      <c r="J457" t="s">
        <v>17</v>
      </c>
      <c r="K457" s="4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 s="4">
        <v>0</v>
      </c>
      <c r="G458" s="4">
        <v>86</v>
      </c>
      <c r="H458" s="4">
        <v>0</v>
      </c>
      <c r="I458" t="s">
        <v>28</v>
      </c>
      <c r="J458" t="s">
        <v>24</v>
      </c>
      <c r="K458" s="4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5">
        <v>1093717.8500000001</v>
      </c>
      <c r="F459" s="4">
        <v>21450</v>
      </c>
      <c r="G459" s="4">
        <v>138</v>
      </c>
      <c r="H459" s="4">
        <v>0</v>
      </c>
      <c r="I459" t="s">
        <v>16</v>
      </c>
      <c r="J459" t="s">
        <v>78</v>
      </c>
      <c r="K459" s="4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 s="4">
        <v>33345</v>
      </c>
      <c r="G460" s="4">
        <v>65</v>
      </c>
      <c r="H460" s="4">
        <v>0</v>
      </c>
      <c r="I460" t="s">
        <v>28</v>
      </c>
      <c r="J460" t="s">
        <v>17</v>
      </c>
      <c r="K460" s="4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5">
        <v>1011077.82</v>
      </c>
      <c r="F461" s="4">
        <v>15752</v>
      </c>
      <c r="G461" s="4">
        <v>90</v>
      </c>
      <c r="H461" s="4">
        <v>0</v>
      </c>
      <c r="I461" t="s">
        <v>28</v>
      </c>
      <c r="J461" t="s">
        <v>24</v>
      </c>
      <c r="K461" s="4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5">
        <v>511941.43</v>
      </c>
      <c r="F462" s="4">
        <v>40169</v>
      </c>
      <c r="G462" s="4">
        <v>65</v>
      </c>
      <c r="H462" s="4">
        <v>36526</v>
      </c>
      <c r="I462" t="s">
        <v>16</v>
      </c>
      <c r="J462" t="s">
        <v>17</v>
      </c>
      <c r="K462" s="4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5">
        <v>853383.2</v>
      </c>
      <c r="F463" s="4">
        <v>26049</v>
      </c>
      <c r="G463" s="4">
        <v>113</v>
      </c>
      <c r="H463" s="4">
        <v>36526</v>
      </c>
      <c r="I463" t="s">
        <v>16</v>
      </c>
      <c r="J463" t="s">
        <v>29</v>
      </c>
      <c r="K463" s="4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 s="4">
        <v>0</v>
      </c>
      <c r="G464" s="4">
        <v>68</v>
      </c>
      <c r="H464" s="4">
        <v>0</v>
      </c>
      <c r="I464" t="s">
        <v>16</v>
      </c>
      <c r="J464" t="s">
        <v>17</v>
      </c>
      <c r="K464" s="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5">
        <v>804280.38</v>
      </c>
      <c r="F465" s="4">
        <v>55411</v>
      </c>
      <c r="G465" s="4">
        <v>100</v>
      </c>
      <c r="H465" s="4">
        <v>0</v>
      </c>
      <c r="I465" t="s">
        <v>16</v>
      </c>
      <c r="J465" t="s">
        <v>78</v>
      </c>
      <c r="K465" s="4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 s="4">
        <v>12459</v>
      </c>
      <c r="G466" s="4">
        <v>70</v>
      </c>
      <c r="H466" s="4">
        <v>0</v>
      </c>
      <c r="I466" t="s">
        <v>16</v>
      </c>
      <c r="J466" t="s">
        <v>17</v>
      </c>
      <c r="K466" s="4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5">
        <v>1807394</v>
      </c>
      <c r="F467" s="4">
        <v>64620</v>
      </c>
      <c r="G467" s="4">
        <v>76</v>
      </c>
      <c r="H467" s="4">
        <v>36526</v>
      </c>
      <c r="I467" t="s">
        <v>16</v>
      </c>
      <c r="J467" t="s">
        <v>24</v>
      </c>
      <c r="K467" s="4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5">
        <v>243050.66</v>
      </c>
      <c r="F468" s="4">
        <v>83140</v>
      </c>
      <c r="G468" s="4">
        <v>61</v>
      </c>
      <c r="H468" s="4">
        <v>0</v>
      </c>
      <c r="I468" t="s">
        <v>28</v>
      </c>
      <c r="J468" t="s">
        <v>17</v>
      </c>
      <c r="K468" s="4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5">
        <v>316765.84000000003</v>
      </c>
      <c r="F469" s="4">
        <v>0</v>
      </c>
      <c r="G469" s="4">
        <v>92</v>
      </c>
      <c r="H469" s="4">
        <v>0</v>
      </c>
      <c r="I469" t="s">
        <v>28</v>
      </c>
      <c r="J469" t="s">
        <v>17</v>
      </c>
      <c r="K469" s="4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5">
        <v>546560.4</v>
      </c>
      <c r="F470" s="4">
        <v>54422</v>
      </c>
      <c r="G470" s="4">
        <v>68</v>
      </c>
      <c r="H470" s="4">
        <v>0</v>
      </c>
      <c r="I470" t="s">
        <v>28</v>
      </c>
      <c r="J470" t="s">
        <v>17</v>
      </c>
      <c r="K470" s="4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 s="4">
        <v>68309</v>
      </c>
      <c r="G471" s="4">
        <v>131</v>
      </c>
      <c r="H471" s="4">
        <v>0</v>
      </c>
      <c r="I471" t="s">
        <v>28</v>
      </c>
      <c r="J471" t="s">
        <v>29</v>
      </c>
      <c r="K471" s="4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 s="4">
        <v>56621</v>
      </c>
      <c r="G472" s="4">
        <v>65</v>
      </c>
      <c r="H472" s="4">
        <v>36557</v>
      </c>
      <c r="I472" t="s">
        <v>16</v>
      </c>
      <c r="J472" t="s">
        <v>17</v>
      </c>
      <c r="K472" s="4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5">
        <v>282194.71999999997</v>
      </c>
      <c r="F473" s="4">
        <v>38977</v>
      </c>
      <c r="G473" s="4">
        <v>70</v>
      </c>
      <c r="H473" s="4">
        <v>0</v>
      </c>
      <c r="I473" t="s">
        <v>39</v>
      </c>
      <c r="J473" t="s">
        <v>17</v>
      </c>
      <c r="K473" s="4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5">
        <v>775712.81</v>
      </c>
      <c r="F474" s="4">
        <v>0</v>
      </c>
      <c r="G474" s="4">
        <v>111</v>
      </c>
      <c r="H474" s="4">
        <v>0</v>
      </c>
      <c r="I474" t="s">
        <v>28</v>
      </c>
      <c r="J474" t="s">
        <v>24</v>
      </c>
      <c r="K474" s="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 s="4">
        <v>0</v>
      </c>
      <c r="G475" s="4">
        <v>114</v>
      </c>
      <c r="H475" s="4">
        <v>0</v>
      </c>
      <c r="I475" t="s">
        <v>28</v>
      </c>
      <c r="J475" t="s">
        <v>24</v>
      </c>
      <c r="K475" s="4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5">
        <v>595554.46</v>
      </c>
      <c r="F476" s="4">
        <v>0</v>
      </c>
      <c r="G476" s="4">
        <v>83</v>
      </c>
      <c r="H476" s="4">
        <v>0</v>
      </c>
      <c r="I476" t="s">
        <v>16</v>
      </c>
      <c r="J476" t="s">
        <v>17</v>
      </c>
      <c r="K476" s="4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5">
        <v>1415861.36</v>
      </c>
      <c r="F477" s="4">
        <v>83235</v>
      </c>
      <c r="G477" s="4">
        <v>70</v>
      </c>
      <c r="H477" s="4">
        <v>0</v>
      </c>
      <c r="I477" t="s">
        <v>16</v>
      </c>
      <c r="J477" t="s">
        <v>24</v>
      </c>
      <c r="K477" s="4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 s="4">
        <v>0</v>
      </c>
      <c r="G478" s="4">
        <v>74</v>
      </c>
      <c r="H478" s="4">
        <v>0</v>
      </c>
      <c r="I478" t="s">
        <v>16</v>
      </c>
      <c r="J478" t="s">
        <v>24</v>
      </c>
      <c r="K478" s="4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 s="4">
        <v>32390</v>
      </c>
      <c r="G479" s="4">
        <v>80</v>
      </c>
      <c r="H479" s="4">
        <v>0</v>
      </c>
      <c r="I479" t="s">
        <v>16</v>
      </c>
      <c r="J479" t="s">
        <v>17</v>
      </c>
      <c r="K479" s="4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5">
        <v>1147348.1499999999</v>
      </c>
      <c r="F480" s="4">
        <v>66538</v>
      </c>
      <c r="G480" s="4">
        <v>95</v>
      </c>
      <c r="H480" s="4">
        <v>0</v>
      </c>
      <c r="I480" t="s">
        <v>16</v>
      </c>
      <c r="J480" t="s">
        <v>24</v>
      </c>
      <c r="K480" s="4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5">
        <v>494263.06</v>
      </c>
      <c r="F481" s="4">
        <v>23285</v>
      </c>
      <c r="G481" s="4">
        <v>65</v>
      </c>
      <c r="H481" s="4">
        <v>0</v>
      </c>
      <c r="I481" t="s">
        <v>16</v>
      </c>
      <c r="J481" t="s">
        <v>24</v>
      </c>
      <c r="K481" s="4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5">
        <v>2359468.02</v>
      </c>
      <c r="F482" s="4">
        <v>76358</v>
      </c>
      <c r="G482" s="4">
        <v>66</v>
      </c>
      <c r="H482" s="4">
        <v>0</v>
      </c>
      <c r="I482" t="s">
        <v>16</v>
      </c>
      <c r="J482" t="s">
        <v>17</v>
      </c>
      <c r="K482" s="4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5">
        <v>257250.66</v>
      </c>
      <c r="F483" s="4">
        <v>21104</v>
      </c>
      <c r="G483" s="4">
        <v>66</v>
      </c>
      <c r="H483" s="4">
        <v>0</v>
      </c>
      <c r="I483" t="s">
        <v>16</v>
      </c>
      <c r="J483" t="s">
        <v>17</v>
      </c>
      <c r="K483" s="4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5">
        <v>538089.86</v>
      </c>
      <c r="F484" s="4">
        <v>55350</v>
      </c>
      <c r="G484" s="4">
        <v>67</v>
      </c>
      <c r="H484" s="4">
        <v>0</v>
      </c>
      <c r="I484" t="s">
        <v>16</v>
      </c>
      <c r="J484" t="s">
        <v>17</v>
      </c>
      <c r="K484" s="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5">
        <v>477055.09</v>
      </c>
      <c r="F485" s="4">
        <v>12964</v>
      </c>
      <c r="G485" s="4">
        <v>65</v>
      </c>
      <c r="H485" s="4">
        <v>0</v>
      </c>
      <c r="I485" t="s">
        <v>16</v>
      </c>
      <c r="J485" t="s">
        <v>24</v>
      </c>
      <c r="K485" s="4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5">
        <v>675665.14</v>
      </c>
      <c r="F486" s="4">
        <v>33288</v>
      </c>
      <c r="G486" s="4">
        <v>86</v>
      </c>
      <c r="H486" s="4">
        <v>36557</v>
      </c>
      <c r="I486" t="s">
        <v>16</v>
      </c>
      <c r="J486" t="s">
        <v>17</v>
      </c>
      <c r="K486" s="4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5">
        <v>593601.18000000005</v>
      </c>
      <c r="F487" s="4">
        <v>0</v>
      </c>
      <c r="G487" s="4">
        <v>84</v>
      </c>
      <c r="H487" s="4">
        <v>0</v>
      </c>
      <c r="I487" t="s">
        <v>16</v>
      </c>
      <c r="J487" t="s">
        <v>17</v>
      </c>
      <c r="K487" s="4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5">
        <v>357076.05</v>
      </c>
      <c r="F488" s="4">
        <v>56168</v>
      </c>
      <c r="G488" s="4">
        <v>88</v>
      </c>
      <c r="H488" s="4">
        <v>0</v>
      </c>
      <c r="I488" t="s">
        <v>16</v>
      </c>
      <c r="J488" t="s">
        <v>17</v>
      </c>
      <c r="K488" s="4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 s="4">
        <v>0</v>
      </c>
      <c r="G489" s="4">
        <v>92</v>
      </c>
      <c r="H489" s="4">
        <v>0</v>
      </c>
      <c r="I489" t="s">
        <v>16</v>
      </c>
      <c r="J489" t="s">
        <v>17</v>
      </c>
      <c r="K489" s="4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 s="4">
        <v>23105</v>
      </c>
      <c r="G490" s="4">
        <v>69</v>
      </c>
      <c r="H490" s="4">
        <v>0</v>
      </c>
      <c r="I490" t="s">
        <v>16</v>
      </c>
      <c r="J490" t="s">
        <v>24</v>
      </c>
      <c r="K490" s="4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5">
        <v>273031.38</v>
      </c>
      <c r="F491" s="4">
        <v>36218</v>
      </c>
      <c r="G491" s="4">
        <v>68</v>
      </c>
      <c r="H491" s="4">
        <v>0</v>
      </c>
      <c r="I491" t="s">
        <v>16</v>
      </c>
      <c r="J491" t="s">
        <v>17</v>
      </c>
      <c r="K491" s="4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5">
        <v>498268.14</v>
      </c>
      <c r="F492" s="4">
        <v>52275</v>
      </c>
      <c r="G492" s="4">
        <v>62</v>
      </c>
      <c r="H492" s="4">
        <v>0</v>
      </c>
      <c r="I492" t="s">
        <v>28</v>
      </c>
      <c r="J492" t="s">
        <v>17</v>
      </c>
      <c r="K492" s="4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5">
        <v>876926.68</v>
      </c>
      <c r="F493" s="4">
        <v>49665</v>
      </c>
      <c r="G493" s="4">
        <v>74</v>
      </c>
      <c r="H493" s="4">
        <v>0</v>
      </c>
      <c r="I493" t="s">
        <v>16</v>
      </c>
      <c r="J493" t="s">
        <v>17</v>
      </c>
      <c r="K493" s="4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 s="4">
        <v>32471</v>
      </c>
      <c r="G494" s="4">
        <v>110</v>
      </c>
      <c r="H494" s="4">
        <v>0</v>
      </c>
      <c r="I494" t="s">
        <v>16</v>
      </c>
      <c r="J494" t="s">
        <v>24</v>
      </c>
      <c r="K494" s="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 s="4">
        <v>0</v>
      </c>
      <c r="G495" s="4">
        <v>86</v>
      </c>
      <c r="H495" s="4">
        <v>36526</v>
      </c>
      <c r="I495" t="s">
        <v>28</v>
      </c>
      <c r="J495" t="s">
        <v>24</v>
      </c>
      <c r="K495" s="4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5">
        <v>588718.19999999995</v>
      </c>
      <c r="F496" s="4">
        <v>62773</v>
      </c>
      <c r="G496" s="4">
        <v>73</v>
      </c>
      <c r="H496" s="4">
        <v>0</v>
      </c>
      <c r="I496" t="s">
        <v>16</v>
      </c>
      <c r="J496" t="s">
        <v>17</v>
      </c>
      <c r="K496" s="4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5">
        <v>470058.38</v>
      </c>
      <c r="F497" s="4">
        <v>76694</v>
      </c>
      <c r="G497" s="4">
        <v>117</v>
      </c>
      <c r="H497" s="4">
        <v>0</v>
      </c>
      <c r="I497" t="s">
        <v>16</v>
      </c>
      <c r="J497" t="s">
        <v>29</v>
      </c>
      <c r="K497" s="4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 s="4">
        <v>55687</v>
      </c>
      <c r="G498" s="4">
        <v>276</v>
      </c>
      <c r="H498" s="4">
        <v>0</v>
      </c>
      <c r="I498" t="s">
        <v>16</v>
      </c>
      <c r="J498" t="s">
        <v>65</v>
      </c>
      <c r="K498" s="4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5">
        <v>252317.12</v>
      </c>
      <c r="F499" s="4">
        <v>0</v>
      </c>
      <c r="G499" s="4">
        <v>70</v>
      </c>
      <c r="H499" s="4">
        <v>0</v>
      </c>
      <c r="I499" t="s">
        <v>16</v>
      </c>
      <c r="J499" t="s">
        <v>17</v>
      </c>
      <c r="K499" s="4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 s="4">
        <v>36633</v>
      </c>
      <c r="G500" s="4">
        <v>96</v>
      </c>
      <c r="H500" s="4">
        <v>36526</v>
      </c>
      <c r="I500" t="s">
        <v>16</v>
      </c>
      <c r="J500" t="s">
        <v>17</v>
      </c>
      <c r="K500" s="4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 s="4">
        <v>77060</v>
      </c>
      <c r="G501" s="4">
        <v>106</v>
      </c>
      <c r="H501" s="4">
        <v>0</v>
      </c>
      <c r="I501" t="s">
        <v>16</v>
      </c>
      <c r="J501" t="s">
        <v>29</v>
      </c>
      <c r="K501" s="4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5">
        <v>376446.51</v>
      </c>
      <c r="F502" s="4">
        <v>92600</v>
      </c>
      <c r="G502" s="4">
        <v>94</v>
      </c>
      <c r="H502" s="4">
        <v>0</v>
      </c>
      <c r="I502" t="s">
        <v>28</v>
      </c>
      <c r="J502" t="s">
        <v>24</v>
      </c>
      <c r="K502" s="4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 s="4">
        <v>0</v>
      </c>
      <c r="G503" s="4">
        <v>66</v>
      </c>
      <c r="H503" s="4">
        <v>0</v>
      </c>
      <c r="I503" t="s">
        <v>16</v>
      </c>
      <c r="J503" t="s">
        <v>17</v>
      </c>
      <c r="K503" s="4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 s="4">
        <v>0</v>
      </c>
      <c r="G504" s="4">
        <v>111</v>
      </c>
      <c r="H504" s="4">
        <v>36557</v>
      </c>
      <c r="I504" t="s">
        <v>28</v>
      </c>
      <c r="J504" t="s">
        <v>29</v>
      </c>
      <c r="K504" s="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 s="4">
        <v>64801</v>
      </c>
      <c r="G505" s="4">
        <v>64</v>
      </c>
      <c r="H505" s="4">
        <v>0</v>
      </c>
      <c r="I505" t="s">
        <v>16</v>
      </c>
      <c r="J505" t="s">
        <v>17</v>
      </c>
      <c r="K505" s="4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5">
        <v>827774.56</v>
      </c>
      <c r="F506" s="4">
        <v>45257</v>
      </c>
      <c r="G506" s="4">
        <v>103</v>
      </c>
      <c r="H506" s="4">
        <v>0</v>
      </c>
      <c r="I506" t="s">
        <v>28</v>
      </c>
      <c r="J506" t="s">
        <v>24</v>
      </c>
      <c r="K506" s="4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 s="4">
        <v>26854</v>
      </c>
      <c r="G507" s="4">
        <v>66</v>
      </c>
      <c r="H507" s="4">
        <v>0</v>
      </c>
      <c r="I507" t="s">
        <v>16</v>
      </c>
      <c r="J507" t="s">
        <v>17</v>
      </c>
      <c r="K507" s="4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5">
        <v>820538.79</v>
      </c>
      <c r="F508" s="4">
        <v>85840</v>
      </c>
      <c r="G508" s="4">
        <v>102</v>
      </c>
      <c r="H508" s="4">
        <v>36557</v>
      </c>
      <c r="I508" t="s">
        <v>28</v>
      </c>
      <c r="J508" t="s">
        <v>29</v>
      </c>
      <c r="K508" s="4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5">
        <v>1958246.89</v>
      </c>
      <c r="F509" s="4">
        <v>26463</v>
      </c>
      <c r="G509" s="4">
        <v>72</v>
      </c>
      <c r="H509" s="4">
        <v>0</v>
      </c>
      <c r="I509" t="s">
        <v>28</v>
      </c>
      <c r="J509" t="s">
        <v>17</v>
      </c>
      <c r="K509" s="4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5">
        <v>648152.66</v>
      </c>
      <c r="F510" s="4">
        <v>30689</v>
      </c>
      <c r="G510" s="4">
        <v>81</v>
      </c>
      <c r="H510" s="4">
        <v>0</v>
      </c>
      <c r="I510" t="s">
        <v>16</v>
      </c>
      <c r="J510" t="s">
        <v>17</v>
      </c>
      <c r="K510" s="4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 s="4">
        <v>29590</v>
      </c>
      <c r="G511" s="4">
        <v>66</v>
      </c>
      <c r="H511" s="4">
        <v>0</v>
      </c>
      <c r="I511" t="s">
        <v>28</v>
      </c>
      <c r="J511" t="s">
        <v>24</v>
      </c>
      <c r="K511" s="4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5">
        <v>983033.76</v>
      </c>
      <c r="F512" s="4">
        <v>25965</v>
      </c>
      <c r="G512" s="4">
        <v>253</v>
      </c>
      <c r="H512" s="4">
        <v>0</v>
      </c>
      <c r="I512" t="s">
        <v>16</v>
      </c>
      <c r="J512" t="s">
        <v>65</v>
      </c>
      <c r="K512" s="4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5">
        <v>1044265.14</v>
      </c>
      <c r="F513" s="4">
        <v>17269</v>
      </c>
      <c r="G513" s="4">
        <v>139</v>
      </c>
      <c r="H513" s="4">
        <v>0</v>
      </c>
      <c r="I513" t="s">
        <v>16</v>
      </c>
      <c r="J513" t="s">
        <v>29</v>
      </c>
      <c r="K513" s="4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 s="4">
        <v>90330</v>
      </c>
      <c r="G514" s="4">
        <v>137</v>
      </c>
      <c r="H514" s="4">
        <v>36586</v>
      </c>
      <c r="I514" t="s">
        <v>28</v>
      </c>
      <c r="J514" t="s">
        <v>78</v>
      </c>
      <c r="K514" s="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5">
        <v>847003.68</v>
      </c>
      <c r="F515" s="4">
        <v>0</v>
      </c>
      <c r="G515" s="4">
        <v>113</v>
      </c>
      <c r="H515" s="4">
        <v>0</v>
      </c>
      <c r="I515" t="s">
        <v>28</v>
      </c>
      <c r="J515" t="s">
        <v>29</v>
      </c>
      <c r="K515" s="4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5">
        <v>827878.65</v>
      </c>
      <c r="F516" s="4">
        <v>0</v>
      </c>
      <c r="G516" s="4">
        <v>110</v>
      </c>
      <c r="H516" s="4">
        <v>0</v>
      </c>
      <c r="I516" t="s">
        <v>16</v>
      </c>
      <c r="J516" t="s">
        <v>17</v>
      </c>
      <c r="K516" s="4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5">
        <v>478893.26</v>
      </c>
      <c r="F517" s="4">
        <v>0</v>
      </c>
      <c r="G517" s="4">
        <v>67</v>
      </c>
      <c r="H517" s="4">
        <v>36526</v>
      </c>
      <c r="I517" t="s">
        <v>16</v>
      </c>
      <c r="J517" t="s">
        <v>24</v>
      </c>
      <c r="K517" s="4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5">
        <v>308799.99</v>
      </c>
      <c r="F518" s="4">
        <v>18558</v>
      </c>
      <c r="G518" s="4">
        <v>80</v>
      </c>
      <c r="H518" s="4">
        <v>0</v>
      </c>
      <c r="I518" t="s">
        <v>39</v>
      </c>
      <c r="J518" t="s">
        <v>17</v>
      </c>
      <c r="K518" s="4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5">
        <v>444373.62</v>
      </c>
      <c r="F519" s="4">
        <v>46384</v>
      </c>
      <c r="G519" s="4">
        <v>113</v>
      </c>
      <c r="H519" s="4">
        <v>0</v>
      </c>
      <c r="I519" t="s">
        <v>28</v>
      </c>
      <c r="J519" t="s">
        <v>17</v>
      </c>
      <c r="K519" s="4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5">
        <v>798408.65</v>
      </c>
      <c r="F520" s="4">
        <v>0</v>
      </c>
      <c r="G520" s="4">
        <v>72</v>
      </c>
      <c r="H520" s="4">
        <v>0</v>
      </c>
      <c r="I520" t="s">
        <v>16</v>
      </c>
      <c r="J520" t="s">
        <v>24</v>
      </c>
      <c r="K520" s="4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5">
        <v>718097.1</v>
      </c>
      <c r="F521" s="4">
        <v>42303</v>
      </c>
      <c r="G521" s="4">
        <v>180</v>
      </c>
      <c r="H521" s="4">
        <v>0</v>
      </c>
      <c r="I521" t="s">
        <v>16</v>
      </c>
      <c r="J521" t="s">
        <v>65</v>
      </c>
      <c r="K521" s="4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5">
        <v>1565603.43</v>
      </c>
      <c r="F522" s="4">
        <v>71731</v>
      </c>
      <c r="G522" s="4">
        <v>130</v>
      </c>
      <c r="H522" s="4">
        <v>0</v>
      </c>
      <c r="I522" t="s">
        <v>28</v>
      </c>
      <c r="J522" t="s">
        <v>29</v>
      </c>
      <c r="K522" s="4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 s="4">
        <v>51066</v>
      </c>
      <c r="G523" s="4">
        <v>74</v>
      </c>
      <c r="H523" s="4">
        <v>0</v>
      </c>
      <c r="I523" t="s">
        <v>28</v>
      </c>
      <c r="J523" t="s">
        <v>17</v>
      </c>
      <c r="K523" s="4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 s="4">
        <v>0</v>
      </c>
      <c r="G524" s="4">
        <v>203</v>
      </c>
      <c r="H524" s="4">
        <v>0</v>
      </c>
      <c r="I524" t="s">
        <v>28</v>
      </c>
      <c r="J524" t="s">
        <v>117</v>
      </c>
      <c r="K524" s="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5">
        <v>533735.24</v>
      </c>
      <c r="F525" s="4">
        <v>0</v>
      </c>
      <c r="G525" s="4">
        <v>86</v>
      </c>
      <c r="H525" s="4">
        <v>36586</v>
      </c>
      <c r="I525" t="s">
        <v>16</v>
      </c>
      <c r="J525" t="s">
        <v>17</v>
      </c>
      <c r="K525" s="4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5">
        <v>505082.62</v>
      </c>
      <c r="F526" s="4">
        <v>0</v>
      </c>
      <c r="G526" s="4">
        <v>69</v>
      </c>
      <c r="H526" s="4">
        <v>0</v>
      </c>
      <c r="I526" t="s">
        <v>16</v>
      </c>
      <c r="J526" t="s">
        <v>24</v>
      </c>
      <c r="K526" s="4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5">
        <v>511662.4</v>
      </c>
      <c r="F527" s="4">
        <v>26173</v>
      </c>
      <c r="G527" s="4">
        <v>68</v>
      </c>
      <c r="H527" s="4">
        <v>36526</v>
      </c>
      <c r="I527" t="s">
        <v>28</v>
      </c>
      <c r="J527" t="s">
        <v>17</v>
      </c>
      <c r="K527" s="4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5">
        <v>726873.7</v>
      </c>
      <c r="F528" s="4">
        <v>24445</v>
      </c>
      <c r="G528" s="4">
        <v>63</v>
      </c>
      <c r="H528" s="4">
        <v>0</v>
      </c>
      <c r="I528" t="s">
        <v>16</v>
      </c>
      <c r="J528" t="s">
        <v>24</v>
      </c>
      <c r="K528" s="4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 s="4">
        <v>72302</v>
      </c>
      <c r="G529" s="4">
        <v>66</v>
      </c>
      <c r="H529" s="4">
        <v>0</v>
      </c>
      <c r="I529" t="s">
        <v>16</v>
      </c>
      <c r="J529" t="s">
        <v>24</v>
      </c>
      <c r="K529" s="4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 s="4">
        <v>27208</v>
      </c>
      <c r="G530" s="4">
        <v>102</v>
      </c>
      <c r="H530" s="4">
        <v>0</v>
      </c>
      <c r="I530" t="s">
        <v>16</v>
      </c>
      <c r="J530" t="s">
        <v>29</v>
      </c>
      <c r="K530" s="4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5">
        <v>272535.64</v>
      </c>
      <c r="F531" s="4">
        <v>36650</v>
      </c>
      <c r="G531" s="4">
        <v>69</v>
      </c>
      <c r="H531" s="4">
        <v>36526</v>
      </c>
      <c r="I531" t="s">
        <v>39</v>
      </c>
      <c r="J531" t="s">
        <v>17</v>
      </c>
      <c r="K531" s="4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5">
        <v>545386.12</v>
      </c>
      <c r="F532" s="4">
        <v>30855</v>
      </c>
      <c r="G532" s="4">
        <v>68</v>
      </c>
      <c r="H532" s="4">
        <v>0</v>
      </c>
      <c r="I532" t="s">
        <v>28</v>
      </c>
      <c r="J532" t="s">
        <v>17</v>
      </c>
      <c r="K532" s="4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5">
        <v>684615.03</v>
      </c>
      <c r="F533" s="4">
        <v>0</v>
      </c>
      <c r="G533" s="4">
        <v>95</v>
      </c>
      <c r="H533" s="4">
        <v>0</v>
      </c>
      <c r="I533" t="s">
        <v>16</v>
      </c>
      <c r="J533" t="s">
        <v>24</v>
      </c>
      <c r="K533" s="4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5">
        <v>617291.42000000004</v>
      </c>
      <c r="F534" s="4">
        <v>99960</v>
      </c>
      <c r="G534" s="4">
        <v>76</v>
      </c>
      <c r="H534" s="4">
        <v>0</v>
      </c>
      <c r="I534" t="s">
        <v>28</v>
      </c>
      <c r="J534" t="s">
        <v>17</v>
      </c>
      <c r="K534" s="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5">
        <v>1034632.45</v>
      </c>
      <c r="F535" s="4">
        <v>0</v>
      </c>
      <c r="G535" s="4">
        <v>98</v>
      </c>
      <c r="H535" s="4">
        <v>0</v>
      </c>
      <c r="I535" t="s">
        <v>16</v>
      </c>
      <c r="J535" t="s">
        <v>17</v>
      </c>
      <c r="K535" s="4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5">
        <v>699700.86</v>
      </c>
      <c r="F536" s="4">
        <v>55873</v>
      </c>
      <c r="G536" s="4">
        <v>88</v>
      </c>
      <c r="H536" s="4">
        <v>0</v>
      </c>
      <c r="I536" t="s">
        <v>16</v>
      </c>
      <c r="J536" t="s">
        <v>17</v>
      </c>
      <c r="K536" s="4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5">
        <v>419625.77</v>
      </c>
      <c r="F537" s="4">
        <v>18052</v>
      </c>
      <c r="G537" s="4">
        <v>111</v>
      </c>
      <c r="H537" s="4">
        <v>0</v>
      </c>
      <c r="I537" t="s">
        <v>16</v>
      </c>
      <c r="J537" t="s">
        <v>17</v>
      </c>
      <c r="K537" s="4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5">
        <v>785810.98</v>
      </c>
      <c r="F538" s="4">
        <v>28937</v>
      </c>
      <c r="G538" s="4">
        <v>104</v>
      </c>
      <c r="H538" s="4">
        <v>36557</v>
      </c>
      <c r="I538" t="s">
        <v>16</v>
      </c>
      <c r="J538" t="s">
        <v>29</v>
      </c>
      <c r="K538" s="4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5">
        <v>606434.4</v>
      </c>
      <c r="F539" s="4">
        <v>0</v>
      </c>
      <c r="G539" s="4">
        <v>86</v>
      </c>
      <c r="H539" s="4">
        <v>0</v>
      </c>
      <c r="I539" t="s">
        <v>16</v>
      </c>
      <c r="J539" t="s">
        <v>17</v>
      </c>
      <c r="K539" s="4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 s="4">
        <v>0</v>
      </c>
      <c r="G540" s="4">
        <v>73</v>
      </c>
      <c r="H540" s="4">
        <v>0</v>
      </c>
      <c r="I540" t="s">
        <v>16</v>
      </c>
      <c r="J540" t="s">
        <v>24</v>
      </c>
      <c r="K540" s="4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 s="4">
        <v>12829</v>
      </c>
      <c r="G541" s="4">
        <v>118</v>
      </c>
      <c r="H541" s="4">
        <v>0</v>
      </c>
      <c r="I541" t="s">
        <v>16</v>
      </c>
      <c r="J541" t="s">
        <v>29</v>
      </c>
      <c r="K541" s="4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5">
        <v>592311.72</v>
      </c>
      <c r="F542" s="4">
        <v>92163</v>
      </c>
      <c r="G542" s="4">
        <v>73</v>
      </c>
      <c r="H542" s="4">
        <v>0</v>
      </c>
      <c r="I542" t="s">
        <v>16</v>
      </c>
      <c r="J542" t="s">
        <v>24</v>
      </c>
      <c r="K542" s="4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 s="4">
        <v>17588</v>
      </c>
      <c r="G543" s="4">
        <v>192</v>
      </c>
      <c r="H543" s="4">
        <v>0</v>
      </c>
      <c r="I543" t="s">
        <v>16</v>
      </c>
      <c r="J543" t="s">
        <v>117</v>
      </c>
      <c r="K543" s="4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5">
        <v>870984.53</v>
      </c>
      <c r="F544" s="4">
        <v>41546</v>
      </c>
      <c r="G544" s="4">
        <v>111</v>
      </c>
      <c r="H544" s="4">
        <v>0</v>
      </c>
      <c r="I544" t="s">
        <v>28</v>
      </c>
      <c r="J544" t="s">
        <v>17</v>
      </c>
      <c r="K544" s="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5">
        <v>1330933.52</v>
      </c>
      <c r="F545" s="4">
        <v>0</v>
      </c>
      <c r="G545" s="4">
        <v>127</v>
      </c>
      <c r="H545" s="4">
        <v>0</v>
      </c>
      <c r="I545" t="s">
        <v>16</v>
      </c>
      <c r="J545" t="s">
        <v>29</v>
      </c>
      <c r="K545" s="4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 s="4">
        <v>70340</v>
      </c>
      <c r="G546" s="4">
        <v>113</v>
      </c>
      <c r="H546" s="4">
        <v>0</v>
      </c>
      <c r="I546" t="s">
        <v>39</v>
      </c>
      <c r="J546" t="s">
        <v>17</v>
      </c>
      <c r="K546" s="4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5">
        <v>279190.65000000002</v>
      </c>
      <c r="F547" s="4">
        <v>0</v>
      </c>
      <c r="G547" s="4">
        <v>74</v>
      </c>
      <c r="H547" s="4">
        <v>0</v>
      </c>
      <c r="I547" t="s">
        <v>16</v>
      </c>
      <c r="J547" t="s">
        <v>17</v>
      </c>
      <c r="K547" s="4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5">
        <v>443441.12</v>
      </c>
      <c r="F548" s="4">
        <v>34549</v>
      </c>
      <c r="G548" s="4">
        <v>111</v>
      </c>
      <c r="H548" s="4">
        <v>0</v>
      </c>
      <c r="I548" t="s">
        <v>16</v>
      </c>
      <c r="J548" t="s">
        <v>17</v>
      </c>
      <c r="K548" s="4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5">
        <v>799600.75</v>
      </c>
      <c r="F549" s="4">
        <v>93459</v>
      </c>
      <c r="G549" s="4">
        <v>99</v>
      </c>
      <c r="H549" s="4">
        <v>0</v>
      </c>
      <c r="I549" t="s">
        <v>16</v>
      </c>
      <c r="J549" t="s">
        <v>17</v>
      </c>
      <c r="K549" s="4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5">
        <v>512973.9</v>
      </c>
      <c r="F550" s="4">
        <v>86148</v>
      </c>
      <c r="G550" s="4">
        <v>65</v>
      </c>
      <c r="H550" s="4">
        <v>36557</v>
      </c>
      <c r="I550" t="s">
        <v>16</v>
      </c>
      <c r="J550" t="s">
        <v>17</v>
      </c>
      <c r="K550" s="4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5">
        <v>569717.52</v>
      </c>
      <c r="F551" s="4">
        <v>27048</v>
      </c>
      <c r="G551" s="4">
        <v>72</v>
      </c>
      <c r="H551" s="4">
        <v>0</v>
      </c>
      <c r="I551" t="s">
        <v>28</v>
      </c>
      <c r="J551" t="s">
        <v>17</v>
      </c>
      <c r="K551" s="4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5">
        <v>921713.06</v>
      </c>
      <c r="F552" s="4">
        <v>73259</v>
      </c>
      <c r="G552" s="4">
        <v>115</v>
      </c>
      <c r="H552" s="4">
        <v>0</v>
      </c>
      <c r="I552" t="s">
        <v>16</v>
      </c>
      <c r="J552" t="s">
        <v>29</v>
      </c>
      <c r="K552" s="4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5">
        <v>1020892.76</v>
      </c>
      <c r="F553" s="4">
        <v>35482</v>
      </c>
      <c r="G553" s="4">
        <v>129</v>
      </c>
      <c r="H553" s="4">
        <v>0</v>
      </c>
      <c r="I553" t="s">
        <v>28</v>
      </c>
      <c r="J553" t="s">
        <v>29</v>
      </c>
      <c r="K553" s="4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5">
        <v>417068.73</v>
      </c>
      <c r="F554" s="4">
        <v>29462</v>
      </c>
      <c r="G554" s="4">
        <v>107</v>
      </c>
      <c r="H554" s="4">
        <v>36526</v>
      </c>
      <c r="I554" t="s">
        <v>16</v>
      </c>
      <c r="J554" t="s">
        <v>29</v>
      </c>
      <c r="K554" s="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5">
        <v>450540.58</v>
      </c>
      <c r="F555" s="4">
        <v>67801</v>
      </c>
      <c r="G555" s="4">
        <v>115</v>
      </c>
      <c r="H555" s="4">
        <v>36526</v>
      </c>
      <c r="I555" t="s">
        <v>16</v>
      </c>
      <c r="J555" t="s">
        <v>29</v>
      </c>
      <c r="K555" s="4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 s="4">
        <v>0</v>
      </c>
      <c r="G556" s="4">
        <v>94</v>
      </c>
      <c r="H556" s="4">
        <v>36617</v>
      </c>
      <c r="I556" t="s">
        <v>16</v>
      </c>
      <c r="J556" t="s">
        <v>24</v>
      </c>
      <c r="K556" s="4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5">
        <v>552866.5</v>
      </c>
      <c r="F557" s="4">
        <v>16042</v>
      </c>
      <c r="G557" s="4">
        <v>73</v>
      </c>
      <c r="H557" s="4">
        <v>0</v>
      </c>
      <c r="I557" t="s">
        <v>16</v>
      </c>
      <c r="J557" t="s">
        <v>24</v>
      </c>
      <c r="K557" s="4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 s="4">
        <v>28056</v>
      </c>
      <c r="G558" s="4">
        <v>64</v>
      </c>
      <c r="H558" s="4">
        <v>36526</v>
      </c>
      <c r="I558" t="s">
        <v>16</v>
      </c>
      <c r="J558" t="s">
        <v>17</v>
      </c>
      <c r="K558" s="4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 s="4">
        <v>16495</v>
      </c>
      <c r="G559" s="4">
        <v>85</v>
      </c>
      <c r="H559" s="4">
        <v>36586</v>
      </c>
      <c r="I559" t="s">
        <v>28</v>
      </c>
      <c r="J559" t="s">
        <v>17</v>
      </c>
      <c r="K559" s="4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5">
        <v>866595.64</v>
      </c>
      <c r="F560" s="4">
        <v>41163</v>
      </c>
      <c r="G560" s="4">
        <v>108</v>
      </c>
      <c r="H560" s="4">
        <v>0</v>
      </c>
      <c r="I560" t="s">
        <v>28</v>
      </c>
      <c r="J560" t="s">
        <v>29</v>
      </c>
      <c r="K560" s="4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5">
        <v>1141344.1200000001</v>
      </c>
      <c r="F561" s="4">
        <v>0</v>
      </c>
      <c r="G561" s="4">
        <v>161</v>
      </c>
      <c r="H561" s="4">
        <v>36526</v>
      </c>
      <c r="I561" t="s">
        <v>16</v>
      </c>
      <c r="J561" t="s">
        <v>78</v>
      </c>
      <c r="K561" s="4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5">
        <v>1548843.2</v>
      </c>
      <c r="F562" s="4">
        <v>33799</v>
      </c>
      <c r="G562" s="4">
        <v>109</v>
      </c>
      <c r="H562" s="4">
        <v>36586</v>
      </c>
      <c r="I562" t="s">
        <v>28</v>
      </c>
      <c r="J562" t="s">
        <v>29</v>
      </c>
      <c r="K562" s="4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5">
        <v>886114.95</v>
      </c>
      <c r="F563" s="4">
        <v>90125</v>
      </c>
      <c r="G563" s="4">
        <v>110</v>
      </c>
      <c r="H563" s="4">
        <v>0</v>
      </c>
      <c r="I563" t="s">
        <v>28</v>
      </c>
      <c r="J563" t="s">
        <v>29</v>
      </c>
      <c r="K563" s="4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5">
        <v>593474.15</v>
      </c>
      <c r="F564" s="4">
        <v>87747</v>
      </c>
      <c r="G564" s="4">
        <v>147</v>
      </c>
      <c r="H564" s="4">
        <v>36526</v>
      </c>
      <c r="I564" t="s">
        <v>16</v>
      </c>
      <c r="J564" t="s">
        <v>29</v>
      </c>
      <c r="K564" s="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 s="4">
        <v>35695</v>
      </c>
      <c r="G565" s="4">
        <v>90</v>
      </c>
      <c r="H565" s="4">
        <v>0</v>
      </c>
      <c r="I565" t="s">
        <v>16</v>
      </c>
      <c r="J565" t="s">
        <v>17</v>
      </c>
      <c r="K565" s="4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5">
        <v>349002.83</v>
      </c>
      <c r="F566" s="4">
        <v>90985</v>
      </c>
      <c r="G566" s="4">
        <v>87</v>
      </c>
      <c r="H566" s="4">
        <v>0</v>
      </c>
      <c r="I566" t="s">
        <v>16</v>
      </c>
      <c r="J566" t="s">
        <v>17</v>
      </c>
      <c r="K566" s="4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5">
        <v>368309.99</v>
      </c>
      <c r="F567" s="4">
        <v>0</v>
      </c>
      <c r="G567" s="4">
        <v>101</v>
      </c>
      <c r="H567" s="4">
        <v>0</v>
      </c>
      <c r="I567" t="s">
        <v>28</v>
      </c>
      <c r="J567" t="s">
        <v>78</v>
      </c>
      <c r="K567" s="4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 s="4">
        <v>66839</v>
      </c>
      <c r="G568" s="4">
        <v>154</v>
      </c>
      <c r="H568" s="4">
        <v>0</v>
      </c>
      <c r="I568" t="s">
        <v>16</v>
      </c>
      <c r="J568" t="s">
        <v>78</v>
      </c>
      <c r="K568" s="4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5">
        <v>1250084.3</v>
      </c>
      <c r="F569" s="4">
        <v>0</v>
      </c>
      <c r="G569" s="4">
        <v>165</v>
      </c>
      <c r="H569" s="4">
        <v>0</v>
      </c>
      <c r="I569" t="s">
        <v>16</v>
      </c>
      <c r="J569" t="s">
        <v>29</v>
      </c>
      <c r="K569" s="4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5">
        <v>860915.82</v>
      </c>
      <c r="F570" s="4">
        <v>79090</v>
      </c>
      <c r="G570" s="4">
        <v>107</v>
      </c>
      <c r="H570" s="4">
        <v>0</v>
      </c>
      <c r="I570" t="s">
        <v>28</v>
      </c>
      <c r="J570" t="s">
        <v>29</v>
      </c>
      <c r="K570" s="4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5">
        <v>249745.51</v>
      </c>
      <c r="F571" s="4">
        <v>24825</v>
      </c>
      <c r="G571" s="4">
        <v>64</v>
      </c>
      <c r="H571" s="4">
        <v>0</v>
      </c>
      <c r="I571" t="s">
        <v>16</v>
      </c>
      <c r="J571" t="s">
        <v>24</v>
      </c>
      <c r="K571" s="4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 s="4">
        <v>26806</v>
      </c>
      <c r="G572" s="4">
        <v>63</v>
      </c>
      <c r="H572" s="4">
        <v>0</v>
      </c>
      <c r="I572" t="s">
        <v>16</v>
      </c>
      <c r="J572" t="s">
        <v>17</v>
      </c>
      <c r="K572" s="4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5">
        <v>538792.63</v>
      </c>
      <c r="F573" s="4">
        <v>56835</v>
      </c>
      <c r="G573" s="4">
        <v>67</v>
      </c>
      <c r="H573" s="4">
        <v>0</v>
      </c>
      <c r="I573" t="s">
        <v>16</v>
      </c>
      <c r="J573" t="s">
        <v>24</v>
      </c>
      <c r="K573" s="4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5">
        <v>616555.75</v>
      </c>
      <c r="F574" s="4">
        <v>0</v>
      </c>
      <c r="G574" s="4">
        <v>88</v>
      </c>
      <c r="H574" s="4">
        <v>0</v>
      </c>
      <c r="I574" t="s">
        <v>39</v>
      </c>
      <c r="J574" t="s">
        <v>24</v>
      </c>
      <c r="K574" s="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5">
        <v>273020.28999999998</v>
      </c>
      <c r="F575" s="4">
        <v>46135</v>
      </c>
      <c r="G575" s="4">
        <v>69</v>
      </c>
      <c r="H575" s="4">
        <v>0</v>
      </c>
      <c r="I575" t="s">
        <v>16</v>
      </c>
      <c r="J575" t="s">
        <v>17</v>
      </c>
      <c r="K575" s="4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5">
        <v>516211.69</v>
      </c>
      <c r="F576" s="4">
        <v>0</v>
      </c>
      <c r="G576" s="4">
        <v>73</v>
      </c>
      <c r="H576" s="4">
        <v>0</v>
      </c>
      <c r="I576" t="s">
        <v>16</v>
      </c>
      <c r="J576" t="s">
        <v>17</v>
      </c>
      <c r="K576" s="4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5">
        <v>793706.48</v>
      </c>
      <c r="F577" s="4">
        <v>22862</v>
      </c>
      <c r="G577" s="4">
        <v>67</v>
      </c>
      <c r="H577" s="4">
        <v>0</v>
      </c>
      <c r="I577" t="s">
        <v>16</v>
      </c>
      <c r="J577" t="s">
        <v>24</v>
      </c>
      <c r="K577" s="4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5">
        <v>860815.72</v>
      </c>
      <c r="F578" s="4">
        <v>21450</v>
      </c>
      <c r="G578" s="4">
        <v>110</v>
      </c>
      <c r="H578" s="4">
        <v>36557</v>
      </c>
      <c r="I578" t="s">
        <v>16</v>
      </c>
      <c r="J578" t="s">
        <v>78</v>
      </c>
      <c r="K578" s="4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5">
        <v>263254.58</v>
      </c>
      <c r="F579" s="4">
        <v>95854</v>
      </c>
      <c r="G579" s="4">
        <v>65</v>
      </c>
      <c r="H579" s="4">
        <v>0</v>
      </c>
      <c r="I579" t="s">
        <v>16</v>
      </c>
      <c r="J579" t="s">
        <v>24</v>
      </c>
      <c r="K579" s="4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5">
        <v>778500.42</v>
      </c>
      <c r="F580" s="4">
        <v>44897</v>
      </c>
      <c r="G580" s="4">
        <v>99</v>
      </c>
      <c r="H580" s="4">
        <v>36526</v>
      </c>
      <c r="I580" t="s">
        <v>16</v>
      </c>
      <c r="J580" t="s">
        <v>17</v>
      </c>
      <c r="K580" s="4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5">
        <v>2163983.86</v>
      </c>
      <c r="F581" s="4">
        <v>64455</v>
      </c>
      <c r="G581" s="4">
        <v>108</v>
      </c>
      <c r="H581" s="4">
        <v>0</v>
      </c>
      <c r="I581" t="s">
        <v>16</v>
      </c>
      <c r="J581" t="s">
        <v>29</v>
      </c>
      <c r="K581" s="4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5">
        <v>498082.5</v>
      </c>
      <c r="F582" s="4">
        <v>53265</v>
      </c>
      <c r="G582" s="4">
        <v>62</v>
      </c>
      <c r="H582" s="4">
        <v>0</v>
      </c>
      <c r="I582" t="s">
        <v>16</v>
      </c>
      <c r="J582" t="s">
        <v>17</v>
      </c>
      <c r="K582" s="4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5">
        <v>745723.78</v>
      </c>
      <c r="F583" s="4">
        <v>0</v>
      </c>
      <c r="G583" s="4">
        <v>198</v>
      </c>
      <c r="H583" s="4">
        <v>36526</v>
      </c>
      <c r="I583" t="s">
        <v>16</v>
      </c>
      <c r="J583" t="s">
        <v>117</v>
      </c>
      <c r="K583" s="4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5">
        <v>1064093.93</v>
      </c>
      <c r="F584" s="4">
        <v>50450</v>
      </c>
      <c r="G584" s="4">
        <v>90</v>
      </c>
      <c r="H584" s="4">
        <v>0</v>
      </c>
      <c r="I584" t="s">
        <v>16</v>
      </c>
      <c r="J584" t="s">
        <v>24</v>
      </c>
      <c r="K584" s="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5">
        <v>686250.83</v>
      </c>
      <c r="F585" s="4">
        <v>54780</v>
      </c>
      <c r="G585" s="4">
        <v>88</v>
      </c>
      <c r="H585" s="4">
        <v>36586</v>
      </c>
      <c r="I585" t="s">
        <v>16</v>
      </c>
      <c r="J585" t="s">
        <v>17</v>
      </c>
      <c r="K585" s="4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 s="4">
        <v>0</v>
      </c>
      <c r="G586" s="4">
        <v>119</v>
      </c>
      <c r="H586" s="4">
        <v>0</v>
      </c>
      <c r="I586" t="s">
        <v>16</v>
      </c>
      <c r="J586" t="s">
        <v>78</v>
      </c>
      <c r="K586" s="4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5">
        <v>554803.18999999994</v>
      </c>
      <c r="F587" s="4">
        <v>67798</v>
      </c>
      <c r="G587" s="4">
        <v>69</v>
      </c>
      <c r="H587" s="4">
        <v>0</v>
      </c>
      <c r="I587" t="s">
        <v>16</v>
      </c>
      <c r="J587" t="s">
        <v>17</v>
      </c>
      <c r="K587" s="4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5">
        <v>831268.16</v>
      </c>
      <c r="F588" s="4">
        <v>21442</v>
      </c>
      <c r="G588" s="4">
        <v>118</v>
      </c>
      <c r="H588" s="4">
        <v>0</v>
      </c>
      <c r="I588" t="s">
        <v>16</v>
      </c>
      <c r="J588" t="s">
        <v>29</v>
      </c>
      <c r="K588" s="4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5">
        <v>238998.1</v>
      </c>
      <c r="F589" s="4">
        <v>27615</v>
      </c>
      <c r="G589" s="4">
        <v>62</v>
      </c>
      <c r="H589" s="4">
        <v>36526</v>
      </c>
      <c r="I589" t="s">
        <v>16</v>
      </c>
      <c r="J589" t="s">
        <v>17</v>
      </c>
      <c r="K589" s="4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5">
        <v>445811.34</v>
      </c>
      <c r="F590" s="4">
        <v>17622</v>
      </c>
      <c r="G590" s="4">
        <v>65</v>
      </c>
      <c r="H590" s="4">
        <v>36526</v>
      </c>
      <c r="I590" t="s">
        <v>16</v>
      </c>
      <c r="J590" t="s">
        <v>17</v>
      </c>
      <c r="K590" s="4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 s="4">
        <v>50200</v>
      </c>
      <c r="G591" s="4">
        <v>135</v>
      </c>
      <c r="H591" s="4">
        <v>0</v>
      </c>
      <c r="I591" t="s">
        <v>16</v>
      </c>
      <c r="J591" t="s">
        <v>78</v>
      </c>
      <c r="K591" s="4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5">
        <v>383960.61</v>
      </c>
      <c r="F592" s="4">
        <v>0</v>
      </c>
      <c r="G592" s="4">
        <v>112</v>
      </c>
      <c r="H592" s="4">
        <v>36557</v>
      </c>
      <c r="I592" t="s">
        <v>16</v>
      </c>
      <c r="J592" t="s">
        <v>29</v>
      </c>
      <c r="K592" s="4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5">
        <v>373150.46</v>
      </c>
      <c r="F593" s="4">
        <v>0</v>
      </c>
      <c r="G593" s="4">
        <v>96</v>
      </c>
      <c r="H593" s="4">
        <v>0</v>
      </c>
      <c r="I593" t="s">
        <v>16</v>
      </c>
      <c r="J593" t="s">
        <v>17</v>
      </c>
      <c r="K593" s="4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5">
        <v>277890.37</v>
      </c>
      <c r="F594" s="4">
        <v>73570</v>
      </c>
      <c r="G594" s="4">
        <v>70</v>
      </c>
      <c r="H594" s="4">
        <v>36526</v>
      </c>
      <c r="I594" t="s">
        <v>39</v>
      </c>
      <c r="J594" t="s">
        <v>24</v>
      </c>
      <c r="K594" s="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5">
        <v>401654.2</v>
      </c>
      <c r="F595" s="4">
        <v>0</v>
      </c>
      <c r="G595" s="4">
        <v>111</v>
      </c>
      <c r="H595" s="4">
        <v>0</v>
      </c>
      <c r="I595" t="s">
        <v>16</v>
      </c>
      <c r="J595" t="s">
        <v>29</v>
      </c>
      <c r="K595" s="4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5">
        <v>493094.93</v>
      </c>
      <c r="F596" s="4">
        <v>70412</v>
      </c>
      <c r="G596" s="4">
        <v>61</v>
      </c>
      <c r="H596" s="4">
        <v>0</v>
      </c>
      <c r="I596" t="s">
        <v>28</v>
      </c>
      <c r="J596" t="s">
        <v>24</v>
      </c>
      <c r="K596" s="4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 s="4">
        <v>36631</v>
      </c>
      <c r="G597" s="4">
        <v>62</v>
      </c>
      <c r="H597" s="4">
        <v>0</v>
      </c>
      <c r="I597" t="s">
        <v>16</v>
      </c>
      <c r="J597" t="s">
        <v>17</v>
      </c>
      <c r="K597" s="4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5">
        <v>290887.59000000003</v>
      </c>
      <c r="F598" s="4">
        <v>35895</v>
      </c>
      <c r="G598" s="4">
        <v>73</v>
      </c>
      <c r="H598" s="4">
        <v>0</v>
      </c>
      <c r="I598" t="s">
        <v>16</v>
      </c>
      <c r="J598" t="s">
        <v>17</v>
      </c>
      <c r="K598" s="4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5">
        <v>428294.8</v>
      </c>
      <c r="F599" s="4">
        <v>40864</v>
      </c>
      <c r="G599" s="4">
        <v>109</v>
      </c>
      <c r="H599" s="4">
        <v>36526</v>
      </c>
      <c r="I599" t="s">
        <v>16</v>
      </c>
      <c r="J599" t="s">
        <v>29</v>
      </c>
      <c r="K599" s="4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 s="4">
        <v>0</v>
      </c>
      <c r="G600" s="4">
        <v>118</v>
      </c>
      <c r="H600" s="4">
        <v>0</v>
      </c>
      <c r="I600" t="s">
        <v>16</v>
      </c>
      <c r="J600" t="s">
        <v>17</v>
      </c>
      <c r="K600" s="4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5">
        <v>509078.13</v>
      </c>
      <c r="F601" s="4">
        <v>93018</v>
      </c>
      <c r="G601" s="4">
        <v>63</v>
      </c>
      <c r="H601" s="4">
        <v>0</v>
      </c>
      <c r="I601" t="s">
        <v>16</v>
      </c>
      <c r="J601" t="s">
        <v>17</v>
      </c>
      <c r="K601" s="4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5">
        <v>736618.83</v>
      </c>
      <c r="F602" s="4">
        <v>70014</v>
      </c>
      <c r="G602" s="4">
        <v>62</v>
      </c>
      <c r="H602" s="4">
        <v>0</v>
      </c>
      <c r="I602" t="s">
        <v>28</v>
      </c>
      <c r="J602" t="s">
        <v>17</v>
      </c>
      <c r="K602" s="4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5">
        <v>243687.51</v>
      </c>
      <c r="F603" s="4">
        <v>48875</v>
      </c>
      <c r="G603" s="4">
        <v>61</v>
      </c>
      <c r="H603" s="4">
        <v>0</v>
      </c>
      <c r="I603" t="s">
        <v>16</v>
      </c>
      <c r="J603" t="s">
        <v>24</v>
      </c>
      <c r="K603" s="4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5">
        <v>885268.87</v>
      </c>
      <c r="F604" s="4">
        <v>67969</v>
      </c>
      <c r="G604" s="4">
        <v>74</v>
      </c>
      <c r="H604" s="4">
        <v>0</v>
      </c>
      <c r="I604" t="s">
        <v>16</v>
      </c>
      <c r="J604" t="s">
        <v>17</v>
      </c>
      <c r="K604" s="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5">
        <v>2387547.6800000002</v>
      </c>
      <c r="F605" s="4">
        <v>0</v>
      </c>
      <c r="G605" s="4">
        <v>108</v>
      </c>
      <c r="H605" s="4">
        <v>0</v>
      </c>
      <c r="I605" t="s">
        <v>28</v>
      </c>
      <c r="J605" t="s">
        <v>29</v>
      </c>
      <c r="K605" s="4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5">
        <v>560049.65</v>
      </c>
      <c r="F606" s="4">
        <v>68665</v>
      </c>
      <c r="G606" s="4">
        <v>69</v>
      </c>
      <c r="H606" s="4">
        <v>0</v>
      </c>
      <c r="I606" t="s">
        <v>16</v>
      </c>
      <c r="J606" t="s">
        <v>24</v>
      </c>
      <c r="K606" s="4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 s="4">
        <v>26802</v>
      </c>
      <c r="G607" s="4">
        <v>66</v>
      </c>
      <c r="H607" s="4">
        <v>36526</v>
      </c>
      <c r="I607" t="s">
        <v>28</v>
      </c>
      <c r="J607" t="s">
        <v>24</v>
      </c>
      <c r="K607" s="4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 s="4">
        <v>0</v>
      </c>
      <c r="G608" s="4">
        <v>110</v>
      </c>
      <c r="H608" s="4">
        <v>0</v>
      </c>
      <c r="I608" t="s">
        <v>28</v>
      </c>
      <c r="J608" t="s">
        <v>17</v>
      </c>
      <c r="K608" s="4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 s="4">
        <v>45345</v>
      </c>
      <c r="G609" s="4">
        <v>125</v>
      </c>
      <c r="H609" s="4">
        <v>0</v>
      </c>
      <c r="I609" t="s">
        <v>16</v>
      </c>
      <c r="J609" t="s">
        <v>29</v>
      </c>
      <c r="K609" s="4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5">
        <v>897214.03</v>
      </c>
      <c r="F610" s="4">
        <v>89689</v>
      </c>
      <c r="G610" s="4">
        <v>74</v>
      </c>
      <c r="H610" s="4">
        <v>0</v>
      </c>
      <c r="I610" t="s">
        <v>16</v>
      </c>
      <c r="J610" t="s">
        <v>17</v>
      </c>
      <c r="K610" s="4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5">
        <v>772484.01</v>
      </c>
      <c r="F611" s="4">
        <v>32051</v>
      </c>
      <c r="G611" s="4">
        <v>193</v>
      </c>
      <c r="H611" s="4">
        <v>36526</v>
      </c>
      <c r="I611" t="s">
        <v>16</v>
      </c>
      <c r="J611" t="s">
        <v>29</v>
      </c>
      <c r="K611" s="4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5">
        <v>594667.06999999995</v>
      </c>
      <c r="F612" s="4">
        <v>81139</v>
      </c>
      <c r="G612" s="4">
        <v>74</v>
      </c>
      <c r="H612" s="4">
        <v>0</v>
      </c>
      <c r="I612" t="s">
        <v>39</v>
      </c>
      <c r="J612" t="s">
        <v>17</v>
      </c>
      <c r="K612" s="4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5">
        <v>800054.51</v>
      </c>
      <c r="F613" s="4">
        <v>63834</v>
      </c>
      <c r="G613" s="4">
        <v>100</v>
      </c>
      <c r="H613" s="4">
        <v>36526</v>
      </c>
      <c r="I613" t="s">
        <v>16</v>
      </c>
      <c r="J613" t="s">
        <v>78</v>
      </c>
      <c r="K613" s="4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5">
        <v>645756.1</v>
      </c>
      <c r="F614" s="4">
        <v>37548</v>
      </c>
      <c r="G614" s="4">
        <v>81</v>
      </c>
      <c r="H614" s="4">
        <v>0</v>
      </c>
      <c r="I614" t="s">
        <v>39</v>
      </c>
      <c r="J614" t="s">
        <v>17</v>
      </c>
      <c r="K614" s="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5">
        <v>728144.01</v>
      </c>
      <c r="F615" s="4">
        <v>0</v>
      </c>
      <c r="G615" s="4">
        <v>69</v>
      </c>
      <c r="H615" s="4">
        <v>36586</v>
      </c>
      <c r="I615" t="s">
        <v>16</v>
      </c>
      <c r="J615" t="s">
        <v>17</v>
      </c>
      <c r="K615" s="4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 s="4">
        <v>72421</v>
      </c>
      <c r="G616" s="4">
        <v>65</v>
      </c>
      <c r="H616" s="4">
        <v>0</v>
      </c>
      <c r="I616" t="s">
        <v>16</v>
      </c>
      <c r="J616" t="s">
        <v>17</v>
      </c>
      <c r="K616" s="4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5">
        <v>467842.34</v>
      </c>
      <c r="F617" s="4">
        <v>83102</v>
      </c>
      <c r="G617" s="4">
        <v>116</v>
      </c>
      <c r="H617" s="4">
        <v>0</v>
      </c>
      <c r="I617" t="s">
        <v>28</v>
      </c>
      <c r="J617" t="s">
        <v>17</v>
      </c>
      <c r="K617" s="4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 s="4">
        <v>28432</v>
      </c>
      <c r="G618" s="4">
        <v>118</v>
      </c>
      <c r="H618" s="4">
        <v>0</v>
      </c>
      <c r="I618" t="s">
        <v>16</v>
      </c>
      <c r="J618" t="s">
        <v>29</v>
      </c>
      <c r="K618" s="4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5">
        <v>871777.78</v>
      </c>
      <c r="F619" s="4">
        <v>83707</v>
      </c>
      <c r="G619" s="4">
        <v>108</v>
      </c>
      <c r="H619" s="4">
        <v>0</v>
      </c>
      <c r="I619" t="s">
        <v>28</v>
      </c>
      <c r="J619" t="s">
        <v>17</v>
      </c>
      <c r="K619" s="4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5">
        <v>523398.68</v>
      </c>
      <c r="F620" s="4">
        <v>63259</v>
      </c>
      <c r="G620" s="4">
        <v>65</v>
      </c>
      <c r="H620" s="4">
        <v>0</v>
      </c>
      <c r="I620" t="s">
        <v>28</v>
      </c>
      <c r="J620" t="s">
        <v>17</v>
      </c>
      <c r="K620" s="4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5">
        <v>476418.97</v>
      </c>
      <c r="F621" s="4">
        <v>0</v>
      </c>
      <c r="G621" s="4">
        <v>67</v>
      </c>
      <c r="H621" s="4">
        <v>0</v>
      </c>
      <c r="I621" t="s">
        <v>16</v>
      </c>
      <c r="J621" t="s">
        <v>17</v>
      </c>
      <c r="K621" s="4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5">
        <v>247246.92</v>
      </c>
      <c r="F622" s="4">
        <v>63860</v>
      </c>
      <c r="G622" s="4">
        <v>62</v>
      </c>
      <c r="H622" s="4">
        <v>0</v>
      </c>
      <c r="I622" t="s">
        <v>16</v>
      </c>
      <c r="J622" t="s">
        <v>17</v>
      </c>
      <c r="K622" s="4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5">
        <v>281369.26</v>
      </c>
      <c r="F623" s="4">
        <v>43836</v>
      </c>
      <c r="G623" s="4">
        <v>73</v>
      </c>
      <c r="H623" s="4">
        <v>0</v>
      </c>
      <c r="I623" t="s">
        <v>16</v>
      </c>
      <c r="J623" t="s">
        <v>17</v>
      </c>
      <c r="K623" s="4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5">
        <v>550505.69999999995</v>
      </c>
      <c r="F624" s="4">
        <v>86132</v>
      </c>
      <c r="G624" s="4">
        <v>68</v>
      </c>
      <c r="H624" s="4">
        <v>0</v>
      </c>
      <c r="I624" t="s">
        <v>16</v>
      </c>
      <c r="J624" t="s">
        <v>24</v>
      </c>
      <c r="K624" s="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5">
        <v>260620.85</v>
      </c>
      <c r="F625" s="4">
        <v>28519</v>
      </c>
      <c r="G625" s="4">
        <v>66</v>
      </c>
      <c r="H625" s="4">
        <v>0</v>
      </c>
      <c r="I625" t="s">
        <v>16</v>
      </c>
      <c r="J625" t="s">
        <v>24</v>
      </c>
      <c r="K625" s="4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5">
        <v>1048194.38</v>
      </c>
      <c r="F626" s="4">
        <v>39102</v>
      </c>
      <c r="G626" s="4">
        <v>88</v>
      </c>
      <c r="H626" s="4">
        <v>0</v>
      </c>
      <c r="I626" t="s">
        <v>16</v>
      </c>
      <c r="J626" t="s">
        <v>17</v>
      </c>
      <c r="K626" s="4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5">
        <v>325676.64</v>
      </c>
      <c r="F627" s="4">
        <v>0</v>
      </c>
      <c r="G627" s="4">
        <v>89</v>
      </c>
      <c r="H627" s="4">
        <v>0</v>
      </c>
      <c r="I627" t="s">
        <v>16</v>
      </c>
      <c r="J627" t="s">
        <v>17</v>
      </c>
      <c r="K627" s="4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5">
        <v>3047578.05</v>
      </c>
      <c r="F628" s="4">
        <v>97298</v>
      </c>
      <c r="G628" s="4">
        <v>128</v>
      </c>
      <c r="H628" s="4">
        <v>0</v>
      </c>
      <c r="I628" t="s">
        <v>16</v>
      </c>
      <c r="J628" t="s">
        <v>78</v>
      </c>
      <c r="K628" s="4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 s="4">
        <v>41986</v>
      </c>
      <c r="G629" s="4">
        <v>84</v>
      </c>
      <c r="H629" s="4">
        <v>36557</v>
      </c>
      <c r="I629" t="s">
        <v>16</v>
      </c>
      <c r="J629" t="s">
        <v>24</v>
      </c>
      <c r="K629" s="4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5">
        <v>946850.93</v>
      </c>
      <c r="F630" s="4">
        <v>0</v>
      </c>
      <c r="G630" s="4">
        <v>88</v>
      </c>
      <c r="H630" s="4">
        <v>0</v>
      </c>
      <c r="I630" t="s">
        <v>16</v>
      </c>
      <c r="J630" t="s">
        <v>24</v>
      </c>
      <c r="K630" s="4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5">
        <v>563145.18999999994</v>
      </c>
      <c r="F631" s="4">
        <v>17291</v>
      </c>
      <c r="G631" s="4">
        <v>73</v>
      </c>
      <c r="H631" s="4">
        <v>0</v>
      </c>
      <c r="I631" t="s">
        <v>16</v>
      </c>
      <c r="J631" t="s">
        <v>17</v>
      </c>
      <c r="K631" s="4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5">
        <v>778099.93</v>
      </c>
      <c r="F632" s="4">
        <v>0</v>
      </c>
      <c r="G632" s="4">
        <v>74</v>
      </c>
      <c r="H632" s="4">
        <v>0</v>
      </c>
      <c r="I632" t="s">
        <v>16</v>
      </c>
      <c r="J632" t="s">
        <v>17</v>
      </c>
      <c r="K632" s="4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 s="4">
        <v>37256</v>
      </c>
      <c r="G633" s="4">
        <v>62</v>
      </c>
      <c r="H633" s="4">
        <v>0</v>
      </c>
      <c r="I633" t="s">
        <v>16</v>
      </c>
      <c r="J633" t="s">
        <v>17</v>
      </c>
      <c r="K633" s="4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 s="4">
        <v>96306</v>
      </c>
      <c r="G634" s="4">
        <v>95</v>
      </c>
      <c r="H634" s="4">
        <v>36526</v>
      </c>
      <c r="I634" t="s">
        <v>28</v>
      </c>
      <c r="J634" t="s">
        <v>17</v>
      </c>
      <c r="K634" s="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5">
        <v>1017971.7</v>
      </c>
      <c r="F635" s="4">
        <v>14290</v>
      </c>
      <c r="G635" s="4">
        <v>271</v>
      </c>
      <c r="H635" s="4">
        <v>0</v>
      </c>
      <c r="I635" t="s">
        <v>16</v>
      </c>
      <c r="J635" t="s">
        <v>65</v>
      </c>
      <c r="K635" s="4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5">
        <v>277283.92</v>
      </c>
      <c r="F636" s="4">
        <v>37038</v>
      </c>
      <c r="G636" s="4">
        <v>71</v>
      </c>
      <c r="H636" s="4">
        <v>36526</v>
      </c>
      <c r="I636" t="s">
        <v>28</v>
      </c>
      <c r="J636" t="s">
        <v>17</v>
      </c>
      <c r="K636" s="4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 s="4">
        <v>90760</v>
      </c>
      <c r="G637" s="4">
        <v>103</v>
      </c>
      <c r="H637" s="4">
        <v>36557</v>
      </c>
      <c r="I637" t="s">
        <v>39</v>
      </c>
      <c r="J637" t="s">
        <v>29</v>
      </c>
      <c r="K637" s="4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5">
        <v>419196.61</v>
      </c>
      <c r="F638" s="4">
        <v>77048</v>
      </c>
      <c r="G638" s="4">
        <v>103</v>
      </c>
      <c r="H638" s="4">
        <v>0</v>
      </c>
      <c r="I638" t="s">
        <v>16</v>
      </c>
      <c r="J638" t="s">
        <v>29</v>
      </c>
      <c r="K638" s="4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5">
        <v>267686.78999999998</v>
      </c>
      <c r="F639" s="4">
        <v>54480</v>
      </c>
      <c r="G639" s="4">
        <v>67</v>
      </c>
      <c r="H639" s="4">
        <v>0</v>
      </c>
      <c r="I639" t="s">
        <v>16</v>
      </c>
      <c r="J639" t="s">
        <v>17</v>
      </c>
      <c r="K639" s="4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 s="4">
        <v>16244</v>
      </c>
      <c r="G640" s="4">
        <v>68</v>
      </c>
      <c r="H640" s="4">
        <v>0</v>
      </c>
      <c r="I640" t="s">
        <v>16</v>
      </c>
      <c r="J640" t="s">
        <v>24</v>
      </c>
      <c r="K640" s="4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5">
        <v>698840.16</v>
      </c>
      <c r="F641" s="4">
        <v>22436</v>
      </c>
      <c r="G641" s="4">
        <v>89</v>
      </c>
      <c r="H641" s="4">
        <v>0</v>
      </c>
      <c r="I641" t="s">
        <v>39</v>
      </c>
      <c r="J641" t="s">
        <v>17</v>
      </c>
      <c r="K641" s="4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5">
        <v>874205.78</v>
      </c>
      <c r="F642" s="4">
        <v>71592</v>
      </c>
      <c r="G642" s="4">
        <v>72</v>
      </c>
      <c r="H642" s="4">
        <v>0</v>
      </c>
      <c r="I642" t="s">
        <v>16</v>
      </c>
      <c r="J642" t="s">
        <v>17</v>
      </c>
      <c r="K642" s="4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5">
        <v>267331.96000000002</v>
      </c>
      <c r="F643" s="4">
        <v>28728</v>
      </c>
      <c r="G643" s="4">
        <v>67</v>
      </c>
      <c r="H643" s="4">
        <v>0</v>
      </c>
      <c r="I643" t="s">
        <v>16</v>
      </c>
      <c r="J643" t="s">
        <v>17</v>
      </c>
      <c r="K643" s="4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5">
        <v>1215732.99</v>
      </c>
      <c r="F644" s="4">
        <v>57449</v>
      </c>
      <c r="G644" s="4">
        <v>103</v>
      </c>
      <c r="H644" s="4">
        <v>0</v>
      </c>
      <c r="I644" t="s">
        <v>16</v>
      </c>
      <c r="J644" t="s">
        <v>17</v>
      </c>
      <c r="K644" s="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5">
        <v>295776.40000000002</v>
      </c>
      <c r="F645" s="4">
        <v>83318</v>
      </c>
      <c r="G645" s="4">
        <v>73</v>
      </c>
      <c r="H645" s="4">
        <v>0</v>
      </c>
      <c r="I645" t="s">
        <v>16</v>
      </c>
      <c r="J645" t="s">
        <v>24</v>
      </c>
      <c r="K645" s="4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5">
        <v>717390.94</v>
      </c>
      <c r="F646" s="4">
        <v>75217</v>
      </c>
      <c r="G646" s="4">
        <v>61</v>
      </c>
      <c r="H646" s="4">
        <v>36526</v>
      </c>
      <c r="I646" t="s">
        <v>16</v>
      </c>
      <c r="J646" t="s">
        <v>17</v>
      </c>
      <c r="K646" s="4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5">
        <v>309953.8</v>
      </c>
      <c r="F647" s="4">
        <v>0</v>
      </c>
      <c r="G647" s="4">
        <v>102</v>
      </c>
      <c r="H647" s="4">
        <v>36647</v>
      </c>
      <c r="I647" t="s">
        <v>28</v>
      </c>
      <c r="J647" t="s">
        <v>29</v>
      </c>
      <c r="K647" s="4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5">
        <v>841568.46</v>
      </c>
      <c r="F648" s="4">
        <v>55308</v>
      </c>
      <c r="G648" s="4">
        <v>107</v>
      </c>
      <c r="H648" s="4">
        <v>0</v>
      </c>
      <c r="I648" t="s">
        <v>28</v>
      </c>
      <c r="J648" t="s">
        <v>29</v>
      </c>
      <c r="K648" s="4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5">
        <v>2684312.4500000002</v>
      </c>
      <c r="F649" s="4">
        <v>36068</v>
      </c>
      <c r="G649" s="4">
        <v>97</v>
      </c>
      <c r="H649" s="4">
        <v>0</v>
      </c>
      <c r="I649" t="s">
        <v>16</v>
      </c>
      <c r="J649" t="s">
        <v>24</v>
      </c>
      <c r="K649" s="4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5">
        <v>1305717.07</v>
      </c>
      <c r="F650" s="4">
        <v>48804</v>
      </c>
      <c r="G650" s="4">
        <v>112</v>
      </c>
      <c r="H650" s="4">
        <v>36526</v>
      </c>
      <c r="I650" t="s">
        <v>28</v>
      </c>
      <c r="J650" t="s">
        <v>17</v>
      </c>
      <c r="K650" s="4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 s="4">
        <v>0</v>
      </c>
      <c r="G651" s="4">
        <v>131</v>
      </c>
      <c r="H651" s="4">
        <v>0</v>
      </c>
      <c r="I651" t="s">
        <v>16</v>
      </c>
      <c r="J651" t="s">
        <v>29</v>
      </c>
      <c r="K651" s="4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5">
        <v>853510.89</v>
      </c>
      <c r="F652" s="4">
        <v>55790</v>
      </c>
      <c r="G652" s="4">
        <v>111</v>
      </c>
      <c r="H652" s="4">
        <v>0</v>
      </c>
      <c r="I652" t="s">
        <v>16</v>
      </c>
      <c r="J652" t="s">
        <v>29</v>
      </c>
      <c r="K652" s="4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5">
        <v>829348.19</v>
      </c>
      <c r="F653" s="4">
        <v>70258</v>
      </c>
      <c r="G653" s="4">
        <v>69</v>
      </c>
      <c r="H653" s="4">
        <v>0</v>
      </c>
      <c r="I653" t="s">
        <v>16</v>
      </c>
      <c r="J653" t="s">
        <v>17</v>
      </c>
      <c r="K653" s="4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5">
        <v>684615.03</v>
      </c>
      <c r="F654" s="4">
        <v>0</v>
      </c>
      <c r="G654" s="4">
        <v>95</v>
      </c>
      <c r="H654" s="4">
        <v>0</v>
      </c>
      <c r="I654" t="s">
        <v>16</v>
      </c>
      <c r="J654" t="s">
        <v>24</v>
      </c>
      <c r="K654" s="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5">
        <v>663685.98</v>
      </c>
      <c r="F655" s="4">
        <v>47274</v>
      </c>
      <c r="G655" s="4">
        <v>83</v>
      </c>
      <c r="H655" s="4">
        <v>36526</v>
      </c>
      <c r="I655" t="s">
        <v>28</v>
      </c>
      <c r="J655" t="s">
        <v>17</v>
      </c>
      <c r="K655" s="4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5">
        <v>560908.25</v>
      </c>
      <c r="F656" s="4">
        <v>44705</v>
      </c>
      <c r="G656" s="4">
        <v>71</v>
      </c>
      <c r="H656" s="4">
        <v>0</v>
      </c>
      <c r="I656" t="s">
        <v>16</v>
      </c>
      <c r="J656" t="s">
        <v>24</v>
      </c>
      <c r="K656" s="4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5">
        <v>507732.09</v>
      </c>
      <c r="F657" s="4">
        <v>0</v>
      </c>
      <c r="G657" s="4">
        <v>73</v>
      </c>
      <c r="H657" s="4">
        <v>0</v>
      </c>
      <c r="I657" t="s">
        <v>16</v>
      </c>
      <c r="J657" t="s">
        <v>24</v>
      </c>
      <c r="K657" s="4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5">
        <v>527562.69999999995</v>
      </c>
      <c r="F658" s="4">
        <v>70446</v>
      </c>
      <c r="G658" s="4">
        <v>65</v>
      </c>
      <c r="H658" s="4">
        <v>0</v>
      </c>
      <c r="I658" t="s">
        <v>16</v>
      </c>
      <c r="J658" t="s">
        <v>17</v>
      </c>
      <c r="K658" s="4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5">
        <v>251459.20000000001</v>
      </c>
      <c r="F659" s="4">
        <v>43860</v>
      </c>
      <c r="G659" s="4">
        <v>65</v>
      </c>
      <c r="H659" s="4">
        <v>0</v>
      </c>
      <c r="I659" t="s">
        <v>16</v>
      </c>
      <c r="J659" t="s">
        <v>17</v>
      </c>
      <c r="K659" s="4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5">
        <v>343525.01</v>
      </c>
      <c r="F660" s="4">
        <v>64348</v>
      </c>
      <c r="G660" s="4">
        <v>86</v>
      </c>
      <c r="H660" s="4">
        <v>0</v>
      </c>
      <c r="I660" t="s">
        <v>16</v>
      </c>
      <c r="J660" t="s">
        <v>24</v>
      </c>
      <c r="K660" s="4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5">
        <v>662461.18000000005</v>
      </c>
      <c r="F661" s="4">
        <v>0</v>
      </c>
      <c r="G661" s="4">
        <v>62</v>
      </c>
      <c r="H661" s="4">
        <v>0</v>
      </c>
      <c r="I661" t="s">
        <v>28</v>
      </c>
      <c r="J661" t="s">
        <v>24</v>
      </c>
      <c r="K661" s="4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5">
        <v>575744.23</v>
      </c>
      <c r="F662" s="4">
        <v>88997</v>
      </c>
      <c r="G662" s="4">
        <v>72</v>
      </c>
      <c r="H662" s="4">
        <v>0</v>
      </c>
      <c r="I662" t="s">
        <v>39</v>
      </c>
      <c r="J662" t="s">
        <v>17</v>
      </c>
      <c r="K662" s="4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5">
        <v>251459.20000000001</v>
      </c>
      <c r="F663" s="4">
        <v>43860</v>
      </c>
      <c r="G663" s="4">
        <v>65</v>
      </c>
      <c r="H663" s="4">
        <v>0</v>
      </c>
      <c r="I663" t="s">
        <v>28</v>
      </c>
      <c r="J663" t="s">
        <v>17</v>
      </c>
      <c r="K663" s="4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5">
        <v>288645.15999999997</v>
      </c>
      <c r="F664" s="4">
        <v>10312</v>
      </c>
      <c r="G664" s="4">
        <v>78</v>
      </c>
      <c r="H664" s="4">
        <v>0</v>
      </c>
      <c r="I664" t="s">
        <v>28</v>
      </c>
      <c r="J664" t="s">
        <v>17</v>
      </c>
      <c r="K664" s="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5">
        <v>534143.88</v>
      </c>
      <c r="F665" s="4">
        <v>0</v>
      </c>
      <c r="G665" s="4">
        <v>72</v>
      </c>
      <c r="H665" s="4">
        <v>36526</v>
      </c>
      <c r="I665" t="s">
        <v>16</v>
      </c>
      <c r="J665" t="s">
        <v>17</v>
      </c>
      <c r="K665" s="4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5">
        <v>416001.81</v>
      </c>
      <c r="F666" s="4">
        <v>96263</v>
      </c>
      <c r="G666" s="4">
        <v>103</v>
      </c>
      <c r="H666" s="4">
        <v>0</v>
      </c>
      <c r="I666" t="s">
        <v>16</v>
      </c>
      <c r="J666" t="s">
        <v>29</v>
      </c>
      <c r="K666" s="4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5">
        <v>284624.53999999998</v>
      </c>
      <c r="F667" s="4">
        <v>28919</v>
      </c>
      <c r="G667" s="4">
        <v>72</v>
      </c>
      <c r="H667" s="4">
        <v>0</v>
      </c>
      <c r="I667" t="s">
        <v>28</v>
      </c>
      <c r="J667" t="s">
        <v>17</v>
      </c>
      <c r="K667" s="4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5">
        <v>477025.66</v>
      </c>
      <c r="F668" s="4">
        <v>0</v>
      </c>
      <c r="G668" s="4">
        <v>68</v>
      </c>
      <c r="H668" s="4">
        <v>36526</v>
      </c>
      <c r="I668" t="s">
        <v>16</v>
      </c>
      <c r="J668" t="s">
        <v>24</v>
      </c>
      <c r="K668" s="4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5">
        <v>505961.62</v>
      </c>
      <c r="F669" s="4">
        <v>41869</v>
      </c>
      <c r="G669" s="4">
        <v>64</v>
      </c>
      <c r="H669" s="4">
        <v>0</v>
      </c>
      <c r="I669" t="s">
        <v>16</v>
      </c>
      <c r="J669" t="s">
        <v>24</v>
      </c>
      <c r="K669" s="4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5">
        <v>909574.46</v>
      </c>
      <c r="F670" s="4">
        <v>0</v>
      </c>
      <c r="G670" s="4">
        <v>128</v>
      </c>
      <c r="H670" s="4">
        <v>0</v>
      </c>
      <c r="I670" t="s">
        <v>16</v>
      </c>
      <c r="J670" t="s">
        <v>29</v>
      </c>
      <c r="K670" s="4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5">
        <v>268886.40000000002</v>
      </c>
      <c r="F671" s="4">
        <v>32808</v>
      </c>
      <c r="G671" s="4">
        <v>68</v>
      </c>
      <c r="H671" s="4">
        <v>36526</v>
      </c>
      <c r="I671" t="s">
        <v>16</v>
      </c>
      <c r="J671" t="s">
        <v>17</v>
      </c>
      <c r="K671" s="4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5">
        <v>827763.76</v>
      </c>
      <c r="F672" s="4">
        <v>79780</v>
      </c>
      <c r="G672" s="4">
        <v>68</v>
      </c>
      <c r="H672" s="4">
        <v>0</v>
      </c>
      <c r="I672" t="s">
        <v>16</v>
      </c>
      <c r="J672" t="s">
        <v>17</v>
      </c>
      <c r="K672" s="4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5">
        <v>905793.53</v>
      </c>
      <c r="F673" s="4">
        <v>91025</v>
      </c>
      <c r="G673" s="4">
        <v>112</v>
      </c>
      <c r="H673" s="4">
        <v>0</v>
      </c>
      <c r="I673" t="s">
        <v>16</v>
      </c>
      <c r="J673" t="s">
        <v>29</v>
      </c>
      <c r="K673" s="4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5">
        <v>380175.04</v>
      </c>
      <c r="F674" s="4">
        <v>33043</v>
      </c>
      <c r="G674" s="4">
        <v>95</v>
      </c>
      <c r="H674" s="4">
        <v>0</v>
      </c>
      <c r="I674" t="s">
        <v>16</v>
      </c>
      <c r="J674" t="s">
        <v>24</v>
      </c>
      <c r="K674" s="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5">
        <v>933934.16</v>
      </c>
      <c r="F675" s="4">
        <v>69442</v>
      </c>
      <c r="G675" s="4">
        <v>118</v>
      </c>
      <c r="H675" s="4">
        <v>36586</v>
      </c>
      <c r="I675" t="s">
        <v>16</v>
      </c>
      <c r="J675" t="s">
        <v>17</v>
      </c>
      <c r="K675" s="4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 s="4">
        <v>0</v>
      </c>
      <c r="G676" s="4">
        <v>70</v>
      </c>
      <c r="H676" s="4">
        <v>0</v>
      </c>
      <c r="I676" t="s">
        <v>28</v>
      </c>
      <c r="J676" t="s">
        <v>17</v>
      </c>
      <c r="K676" s="4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5">
        <v>498409.53</v>
      </c>
      <c r="F677" s="4">
        <v>0</v>
      </c>
      <c r="G677" s="4">
        <v>70</v>
      </c>
      <c r="H677" s="4">
        <v>0</v>
      </c>
      <c r="I677" t="s">
        <v>28</v>
      </c>
      <c r="J677" t="s">
        <v>17</v>
      </c>
      <c r="K677" s="4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5">
        <v>259574.8</v>
      </c>
      <c r="F678" s="4">
        <v>47234</v>
      </c>
      <c r="G678" s="4">
        <v>65</v>
      </c>
      <c r="H678" s="4">
        <v>0</v>
      </c>
      <c r="I678" t="s">
        <v>16</v>
      </c>
      <c r="J678" t="s">
        <v>17</v>
      </c>
      <c r="K678" s="4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 s="4">
        <v>86863</v>
      </c>
      <c r="G679" s="4">
        <v>92</v>
      </c>
      <c r="H679" s="4">
        <v>0</v>
      </c>
      <c r="I679" t="s">
        <v>16</v>
      </c>
      <c r="J679" t="s">
        <v>17</v>
      </c>
      <c r="K679" s="4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5">
        <v>1453678.76</v>
      </c>
      <c r="F680" s="4">
        <v>25805</v>
      </c>
      <c r="G680" s="4">
        <v>66</v>
      </c>
      <c r="H680" s="4">
        <v>36557</v>
      </c>
      <c r="I680" t="s">
        <v>16</v>
      </c>
      <c r="J680" t="s">
        <v>17</v>
      </c>
      <c r="K680" s="4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5">
        <v>591330.59</v>
      </c>
      <c r="F681" s="4">
        <v>43676</v>
      </c>
      <c r="G681" s="4">
        <v>76</v>
      </c>
      <c r="H681" s="4">
        <v>0</v>
      </c>
      <c r="I681" t="s">
        <v>16</v>
      </c>
      <c r="J681" t="s">
        <v>17</v>
      </c>
      <c r="K681" s="4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5">
        <v>277166.3</v>
      </c>
      <c r="F682" s="4">
        <v>59855</v>
      </c>
      <c r="G682" s="4">
        <v>74</v>
      </c>
      <c r="H682" s="4">
        <v>36617</v>
      </c>
      <c r="I682" t="s">
        <v>16</v>
      </c>
      <c r="J682" t="s">
        <v>24</v>
      </c>
      <c r="K682" s="4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5">
        <v>2919436.64</v>
      </c>
      <c r="F683" s="4">
        <v>35296</v>
      </c>
      <c r="G683" s="4">
        <v>126</v>
      </c>
      <c r="H683" s="4">
        <v>0</v>
      </c>
      <c r="I683" t="s">
        <v>16</v>
      </c>
      <c r="J683" t="s">
        <v>29</v>
      </c>
      <c r="K683" s="4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5">
        <v>988038.58</v>
      </c>
      <c r="F684" s="4">
        <v>36576</v>
      </c>
      <c r="G684" s="4">
        <v>125</v>
      </c>
      <c r="H684" s="4">
        <v>36526</v>
      </c>
      <c r="I684" t="s">
        <v>16</v>
      </c>
      <c r="J684" t="s">
        <v>29</v>
      </c>
      <c r="K684" s="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5">
        <v>1511440.24</v>
      </c>
      <c r="F685" s="4">
        <v>28513</v>
      </c>
      <c r="G685" s="4">
        <v>100</v>
      </c>
      <c r="H685" s="4">
        <v>36526</v>
      </c>
      <c r="I685" t="s">
        <v>28</v>
      </c>
      <c r="J685" t="s">
        <v>29</v>
      </c>
      <c r="K685" s="4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5">
        <v>575991.07999999996</v>
      </c>
      <c r="F686" s="4">
        <v>85448</v>
      </c>
      <c r="G686" s="4">
        <v>72</v>
      </c>
      <c r="H686" s="4">
        <v>0</v>
      </c>
      <c r="I686" t="s">
        <v>39</v>
      </c>
      <c r="J686" t="s">
        <v>17</v>
      </c>
      <c r="K686" s="4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5">
        <v>849516.42</v>
      </c>
      <c r="F687" s="4">
        <v>23791</v>
      </c>
      <c r="G687" s="4">
        <v>110</v>
      </c>
      <c r="H687" s="4">
        <v>36586</v>
      </c>
      <c r="I687" t="s">
        <v>16</v>
      </c>
      <c r="J687" t="s">
        <v>24</v>
      </c>
      <c r="K687" s="4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5">
        <v>438118.42</v>
      </c>
      <c r="F688" s="4">
        <v>20597</v>
      </c>
      <c r="G688" s="4">
        <v>112</v>
      </c>
      <c r="H688" s="4">
        <v>0</v>
      </c>
      <c r="I688" t="s">
        <v>16</v>
      </c>
      <c r="J688" t="s">
        <v>17</v>
      </c>
      <c r="K688" s="4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5">
        <v>699782.74</v>
      </c>
      <c r="F689" s="4">
        <v>56940</v>
      </c>
      <c r="G689" s="4">
        <v>87</v>
      </c>
      <c r="H689" s="4">
        <v>0</v>
      </c>
      <c r="I689" t="s">
        <v>16</v>
      </c>
      <c r="J689" t="s">
        <v>17</v>
      </c>
      <c r="K689" s="4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5">
        <v>1143058.8500000001</v>
      </c>
      <c r="F690" s="4">
        <v>93210</v>
      </c>
      <c r="G690" s="4">
        <v>71</v>
      </c>
      <c r="H690" s="4">
        <v>0</v>
      </c>
      <c r="I690" t="s">
        <v>16</v>
      </c>
      <c r="J690" t="s">
        <v>24</v>
      </c>
      <c r="K690" s="4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5">
        <v>748248.61</v>
      </c>
      <c r="F691" s="4">
        <v>48992</v>
      </c>
      <c r="G691" s="4">
        <v>94</v>
      </c>
      <c r="H691" s="4">
        <v>36526</v>
      </c>
      <c r="I691" t="s">
        <v>16</v>
      </c>
      <c r="J691" t="s">
        <v>17</v>
      </c>
      <c r="K691" s="4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5">
        <v>859691.66</v>
      </c>
      <c r="F692" s="4">
        <v>53736</v>
      </c>
      <c r="G692" s="4">
        <v>71</v>
      </c>
      <c r="H692" s="4">
        <v>0</v>
      </c>
      <c r="I692" t="s">
        <v>16</v>
      </c>
      <c r="J692" t="s">
        <v>24</v>
      </c>
      <c r="K692" s="4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5">
        <v>785496.08</v>
      </c>
      <c r="F693" s="4">
        <v>25378</v>
      </c>
      <c r="G693" s="4">
        <v>66</v>
      </c>
      <c r="H693" s="4">
        <v>36526</v>
      </c>
      <c r="I693" t="s">
        <v>16</v>
      </c>
      <c r="J693" t="s">
        <v>17</v>
      </c>
      <c r="K693" s="4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5">
        <v>258240.85</v>
      </c>
      <c r="F694" s="4">
        <v>76731</v>
      </c>
      <c r="G694" s="4">
        <v>64</v>
      </c>
      <c r="H694" s="4">
        <v>0</v>
      </c>
      <c r="I694" t="s">
        <v>16</v>
      </c>
      <c r="J694" t="s">
        <v>17</v>
      </c>
      <c r="K694" s="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5">
        <v>907576.82</v>
      </c>
      <c r="F695" s="4">
        <v>37722</v>
      </c>
      <c r="G695" s="4">
        <v>116</v>
      </c>
      <c r="H695" s="4">
        <v>0</v>
      </c>
      <c r="I695" t="s">
        <v>28</v>
      </c>
      <c r="J695" t="s">
        <v>78</v>
      </c>
      <c r="K695" s="4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5">
        <v>411858.86</v>
      </c>
      <c r="F696" s="4">
        <v>69379</v>
      </c>
      <c r="G696" s="4">
        <v>103</v>
      </c>
      <c r="H696" s="4">
        <v>0</v>
      </c>
      <c r="I696" t="s">
        <v>16</v>
      </c>
      <c r="J696" t="s">
        <v>24</v>
      </c>
      <c r="K696" s="4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 s="4">
        <v>57449</v>
      </c>
      <c r="G697" s="4">
        <v>103</v>
      </c>
      <c r="H697" s="4">
        <v>0</v>
      </c>
      <c r="I697" t="s">
        <v>16</v>
      </c>
      <c r="J697" t="s">
        <v>17</v>
      </c>
      <c r="K697" s="4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5">
        <v>515281.96</v>
      </c>
      <c r="F698" s="4">
        <v>0</v>
      </c>
      <c r="G698" s="4">
        <v>68</v>
      </c>
      <c r="H698" s="4">
        <v>0</v>
      </c>
      <c r="I698" t="s">
        <v>28</v>
      </c>
      <c r="J698" t="s">
        <v>17</v>
      </c>
      <c r="K698" s="4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 s="4">
        <v>0</v>
      </c>
      <c r="G699" s="4">
        <v>93</v>
      </c>
      <c r="H699" s="4">
        <v>0</v>
      </c>
      <c r="I699" t="s">
        <v>16</v>
      </c>
      <c r="J699" t="s">
        <v>24</v>
      </c>
      <c r="K699" s="4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5">
        <v>2778969.24</v>
      </c>
      <c r="F700" s="4">
        <v>33806</v>
      </c>
      <c r="G700" s="4">
        <v>89</v>
      </c>
      <c r="H700" s="4">
        <v>0</v>
      </c>
      <c r="I700" t="s">
        <v>28</v>
      </c>
      <c r="J700" t="s">
        <v>17</v>
      </c>
      <c r="K700" s="4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5">
        <v>266727</v>
      </c>
      <c r="F701" s="4">
        <v>94041</v>
      </c>
      <c r="G701" s="4">
        <v>66</v>
      </c>
      <c r="H701" s="4">
        <v>0</v>
      </c>
      <c r="I701" t="s">
        <v>16</v>
      </c>
      <c r="J701" t="s">
        <v>17</v>
      </c>
      <c r="K701" s="4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5">
        <v>1092840.71</v>
      </c>
      <c r="F702" s="4">
        <v>74965</v>
      </c>
      <c r="G702" s="4">
        <v>90</v>
      </c>
      <c r="H702" s="4">
        <v>0</v>
      </c>
      <c r="I702" t="s">
        <v>16</v>
      </c>
      <c r="J702" t="s">
        <v>17</v>
      </c>
      <c r="K702" s="4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5">
        <v>761538.13</v>
      </c>
      <c r="F703" s="4">
        <v>34095</v>
      </c>
      <c r="G703" s="4">
        <v>63</v>
      </c>
      <c r="H703" s="4">
        <v>0</v>
      </c>
      <c r="I703" t="s">
        <v>16</v>
      </c>
      <c r="J703" t="s">
        <v>24</v>
      </c>
      <c r="K703" s="4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5">
        <v>200435.07</v>
      </c>
      <c r="F704" s="4">
        <v>0</v>
      </c>
      <c r="G704" s="4">
        <v>66</v>
      </c>
      <c r="H704" s="4">
        <v>36617</v>
      </c>
      <c r="I704" t="s">
        <v>16</v>
      </c>
      <c r="J704" t="s">
        <v>17</v>
      </c>
      <c r="K704" s="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 s="4">
        <v>96045</v>
      </c>
      <c r="G705" s="4">
        <v>61</v>
      </c>
      <c r="H705" s="4">
        <v>0</v>
      </c>
      <c r="I705" t="s">
        <v>28</v>
      </c>
      <c r="J705" t="s">
        <v>17</v>
      </c>
      <c r="K705" s="4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5">
        <v>1419536.03</v>
      </c>
      <c r="F706" s="4">
        <v>86355</v>
      </c>
      <c r="G706" s="4">
        <v>118</v>
      </c>
      <c r="H706" s="4">
        <v>0</v>
      </c>
      <c r="I706" t="s">
        <v>16</v>
      </c>
      <c r="J706" t="s">
        <v>78</v>
      </c>
      <c r="K706" s="4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5">
        <v>942768.49</v>
      </c>
      <c r="F707" s="4">
        <v>27824</v>
      </c>
      <c r="G707" s="4">
        <v>118</v>
      </c>
      <c r="H707" s="4">
        <v>0</v>
      </c>
      <c r="I707" t="s">
        <v>16</v>
      </c>
      <c r="J707" t="s">
        <v>29</v>
      </c>
      <c r="K707" s="4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 s="4">
        <v>42995</v>
      </c>
      <c r="G708" s="4">
        <v>101</v>
      </c>
      <c r="H708" s="4">
        <v>0</v>
      </c>
      <c r="I708" t="s">
        <v>16</v>
      </c>
      <c r="J708" t="s">
        <v>29</v>
      </c>
      <c r="K708" s="4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5">
        <v>310278.95</v>
      </c>
      <c r="F709" s="4">
        <v>21235</v>
      </c>
      <c r="G709" s="4">
        <v>79</v>
      </c>
      <c r="H709" s="4">
        <v>0</v>
      </c>
      <c r="I709" t="s">
        <v>16</v>
      </c>
      <c r="J709" t="s">
        <v>24</v>
      </c>
      <c r="K709" s="4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 s="4">
        <v>74585</v>
      </c>
      <c r="G710" s="4">
        <v>106</v>
      </c>
      <c r="H710" s="4">
        <v>0</v>
      </c>
      <c r="I710" t="s">
        <v>16</v>
      </c>
      <c r="J710" t="s">
        <v>29</v>
      </c>
      <c r="K710" s="4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5">
        <v>402381.44</v>
      </c>
      <c r="F711" s="4">
        <v>41833</v>
      </c>
      <c r="G711" s="4">
        <v>103</v>
      </c>
      <c r="H711" s="4">
        <v>0</v>
      </c>
      <c r="I711" t="s">
        <v>16</v>
      </c>
      <c r="J711" t="s">
        <v>17</v>
      </c>
      <c r="K711" s="4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5">
        <v>529715.18000000005</v>
      </c>
      <c r="F712" s="4">
        <v>23908</v>
      </c>
      <c r="G712" s="4">
        <v>70</v>
      </c>
      <c r="H712" s="4">
        <v>0</v>
      </c>
      <c r="I712" t="s">
        <v>16</v>
      </c>
      <c r="J712" t="s">
        <v>17</v>
      </c>
      <c r="K712" s="4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5">
        <v>2142363.7200000002</v>
      </c>
      <c r="F713" s="4">
        <v>0</v>
      </c>
      <c r="G713" s="4">
        <v>65</v>
      </c>
      <c r="H713" s="4">
        <v>0</v>
      </c>
      <c r="I713" t="s">
        <v>16</v>
      </c>
      <c r="J713" t="s">
        <v>24</v>
      </c>
      <c r="K713" s="4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5">
        <v>441620.62</v>
      </c>
      <c r="F714" s="4">
        <v>61953</v>
      </c>
      <c r="G714" s="4">
        <v>113</v>
      </c>
      <c r="H714" s="4">
        <v>0</v>
      </c>
      <c r="I714" t="s">
        <v>16</v>
      </c>
      <c r="J714" t="s">
        <v>29</v>
      </c>
      <c r="K714" s="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5">
        <v>463903.52</v>
      </c>
      <c r="F715" s="4">
        <v>0</v>
      </c>
      <c r="G715" s="4">
        <v>142</v>
      </c>
      <c r="H715" s="4">
        <v>0</v>
      </c>
      <c r="I715" t="s">
        <v>28</v>
      </c>
      <c r="J715" t="s">
        <v>29</v>
      </c>
      <c r="K715" s="4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5">
        <v>486354.46</v>
      </c>
      <c r="F716" s="4">
        <v>0</v>
      </c>
      <c r="G716" s="4">
        <v>137</v>
      </c>
      <c r="H716" s="4">
        <v>0</v>
      </c>
      <c r="I716" t="s">
        <v>16</v>
      </c>
      <c r="J716" t="s">
        <v>29</v>
      </c>
      <c r="K716" s="4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5">
        <v>2583090.98</v>
      </c>
      <c r="F717" s="4">
        <v>73760</v>
      </c>
      <c r="G717" s="4">
        <v>107</v>
      </c>
      <c r="H717" s="4">
        <v>36526</v>
      </c>
      <c r="I717" t="s">
        <v>16</v>
      </c>
      <c r="J717" t="s">
        <v>78</v>
      </c>
      <c r="K717" s="4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5">
        <v>297431.49</v>
      </c>
      <c r="F718" s="4">
        <v>23333</v>
      </c>
      <c r="G718" s="4">
        <v>74</v>
      </c>
      <c r="H718" s="4">
        <v>0</v>
      </c>
      <c r="I718" t="s">
        <v>28</v>
      </c>
      <c r="J718" t="s">
        <v>17</v>
      </c>
      <c r="K718" s="4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 s="4">
        <v>0</v>
      </c>
      <c r="G719" s="4">
        <v>61</v>
      </c>
      <c r="H719" s="4">
        <v>0</v>
      </c>
      <c r="I719" t="s">
        <v>16</v>
      </c>
      <c r="J719" t="s">
        <v>17</v>
      </c>
      <c r="K719" s="4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5">
        <v>1006460.83</v>
      </c>
      <c r="F720" s="4">
        <v>20440</v>
      </c>
      <c r="G720" s="4">
        <v>128</v>
      </c>
      <c r="H720" s="4">
        <v>36557</v>
      </c>
      <c r="I720" t="s">
        <v>28</v>
      </c>
      <c r="J720" t="s">
        <v>78</v>
      </c>
      <c r="K720" s="4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5">
        <v>803240.19</v>
      </c>
      <c r="F721" s="4">
        <v>27658</v>
      </c>
      <c r="G721" s="4">
        <v>68</v>
      </c>
      <c r="H721" s="4">
        <v>0</v>
      </c>
      <c r="I721" t="s">
        <v>16</v>
      </c>
      <c r="J721" t="s">
        <v>17</v>
      </c>
      <c r="K721" s="4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 s="4">
        <v>50943</v>
      </c>
      <c r="G722" s="4">
        <v>139</v>
      </c>
      <c r="H722" s="4">
        <v>0</v>
      </c>
      <c r="I722" t="s">
        <v>39</v>
      </c>
      <c r="J722" t="s">
        <v>29</v>
      </c>
      <c r="K722" s="4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5">
        <v>261275.67</v>
      </c>
      <c r="F723" s="4">
        <v>19003</v>
      </c>
      <c r="G723" s="4">
        <v>71</v>
      </c>
      <c r="H723" s="4">
        <v>0</v>
      </c>
      <c r="I723" t="s">
        <v>16</v>
      </c>
      <c r="J723" t="s">
        <v>24</v>
      </c>
      <c r="K723" s="4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 s="4">
        <v>46703</v>
      </c>
      <c r="G724" s="4">
        <v>108</v>
      </c>
      <c r="H724" s="4">
        <v>0</v>
      </c>
      <c r="I724" t="s">
        <v>16</v>
      </c>
      <c r="J724" t="s">
        <v>17</v>
      </c>
      <c r="K724" s="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5">
        <v>2412750.4</v>
      </c>
      <c r="F725" s="4">
        <v>14072</v>
      </c>
      <c r="G725" s="4">
        <v>71</v>
      </c>
      <c r="H725" s="4">
        <v>0</v>
      </c>
      <c r="I725" t="s">
        <v>16</v>
      </c>
      <c r="J725" t="s">
        <v>17</v>
      </c>
      <c r="K725" s="4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 s="4">
        <v>21733</v>
      </c>
      <c r="G726" s="4">
        <v>73</v>
      </c>
      <c r="H726" s="4">
        <v>0</v>
      </c>
      <c r="I726" t="s">
        <v>28</v>
      </c>
      <c r="J726" t="s">
        <v>17</v>
      </c>
      <c r="K726" s="4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5">
        <v>230864.8</v>
      </c>
      <c r="F727" s="4">
        <v>20811</v>
      </c>
      <c r="G727" s="4">
        <v>61</v>
      </c>
      <c r="H727" s="4">
        <v>0</v>
      </c>
      <c r="I727" t="s">
        <v>16</v>
      </c>
      <c r="J727" t="s">
        <v>17</v>
      </c>
      <c r="K727" s="4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5">
        <v>425462.07</v>
      </c>
      <c r="F728" s="4">
        <v>11904</v>
      </c>
      <c r="G728" s="4">
        <v>61</v>
      </c>
      <c r="H728" s="4">
        <v>36557</v>
      </c>
      <c r="I728" t="s">
        <v>16</v>
      </c>
      <c r="J728" t="s">
        <v>24</v>
      </c>
      <c r="K728" s="4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5">
        <v>898285.04</v>
      </c>
      <c r="F729" s="4">
        <v>43490</v>
      </c>
      <c r="G729" s="4">
        <v>114</v>
      </c>
      <c r="H729" s="4">
        <v>36617</v>
      </c>
      <c r="I729" t="s">
        <v>28</v>
      </c>
      <c r="J729" t="s">
        <v>29</v>
      </c>
      <c r="K729" s="4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 s="4">
        <v>57340</v>
      </c>
      <c r="G730" s="4">
        <v>67</v>
      </c>
      <c r="H730" s="4">
        <v>0</v>
      </c>
      <c r="I730" t="s">
        <v>28</v>
      </c>
      <c r="J730" t="s">
        <v>17</v>
      </c>
      <c r="K730" s="4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 s="4">
        <v>49088</v>
      </c>
      <c r="G731" s="4">
        <v>97</v>
      </c>
      <c r="H731" s="4">
        <v>0</v>
      </c>
      <c r="I731" t="s">
        <v>28</v>
      </c>
      <c r="J731" t="s">
        <v>17</v>
      </c>
      <c r="K731" s="4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5">
        <v>1055217</v>
      </c>
      <c r="F732" s="4">
        <v>47761</v>
      </c>
      <c r="G732" s="4">
        <v>131</v>
      </c>
      <c r="H732" s="4">
        <v>0</v>
      </c>
      <c r="I732" t="s">
        <v>16</v>
      </c>
      <c r="J732" t="s">
        <v>29</v>
      </c>
      <c r="K732" s="4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5">
        <v>1604510.95</v>
      </c>
      <c r="F733" s="4">
        <v>0</v>
      </c>
      <c r="G733" s="4">
        <v>65</v>
      </c>
      <c r="H733" s="4">
        <v>0</v>
      </c>
      <c r="I733" t="s">
        <v>16</v>
      </c>
      <c r="J733" t="s">
        <v>24</v>
      </c>
      <c r="K733" s="4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5">
        <v>873783.75</v>
      </c>
      <c r="F734" s="4">
        <v>61281</v>
      </c>
      <c r="G734" s="4">
        <v>110</v>
      </c>
      <c r="H734" s="4">
        <v>0</v>
      </c>
      <c r="I734" t="s">
        <v>16</v>
      </c>
      <c r="J734" t="s">
        <v>29</v>
      </c>
      <c r="K734" s="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5">
        <v>545489.06999999995</v>
      </c>
      <c r="F735" s="4">
        <v>0</v>
      </c>
      <c r="G735" s="4">
        <v>82</v>
      </c>
      <c r="H735" s="4">
        <v>36526</v>
      </c>
      <c r="I735" t="s">
        <v>28</v>
      </c>
      <c r="J735" t="s">
        <v>24</v>
      </c>
      <c r="K735" s="4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5">
        <v>770528.33</v>
      </c>
      <c r="F736" s="4">
        <v>25290</v>
      </c>
      <c r="G736" s="4">
        <v>66</v>
      </c>
      <c r="H736" s="4">
        <v>0</v>
      </c>
      <c r="I736" t="s">
        <v>16</v>
      </c>
      <c r="J736" t="s">
        <v>17</v>
      </c>
      <c r="K736" s="4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5">
        <v>703926.24</v>
      </c>
      <c r="F737" s="4">
        <v>24239</v>
      </c>
      <c r="G737" s="4">
        <v>88</v>
      </c>
      <c r="H737" s="4">
        <v>0</v>
      </c>
      <c r="I737" t="s">
        <v>16</v>
      </c>
      <c r="J737" t="s">
        <v>17</v>
      </c>
      <c r="K737" s="4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5">
        <v>883808.56</v>
      </c>
      <c r="F738" s="4">
        <v>82664</v>
      </c>
      <c r="G738" s="4">
        <v>114</v>
      </c>
      <c r="H738" s="4">
        <v>36586</v>
      </c>
      <c r="I738" t="s">
        <v>16</v>
      </c>
      <c r="J738" t="s">
        <v>29</v>
      </c>
      <c r="K738" s="4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5">
        <v>873352.73</v>
      </c>
      <c r="F739" s="4">
        <v>83210</v>
      </c>
      <c r="G739" s="4">
        <v>110</v>
      </c>
      <c r="H739" s="4">
        <v>0</v>
      </c>
      <c r="I739" t="s">
        <v>16</v>
      </c>
      <c r="J739" t="s">
        <v>78</v>
      </c>
      <c r="K739" s="4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5">
        <v>959747.48</v>
      </c>
      <c r="F740" s="4">
        <v>38736</v>
      </c>
      <c r="G740" s="4">
        <v>81</v>
      </c>
      <c r="H740" s="4">
        <v>0</v>
      </c>
      <c r="I740" t="s">
        <v>16</v>
      </c>
      <c r="J740" t="s">
        <v>24</v>
      </c>
      <c r="K740" s="4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 s="4">
        <v>0</v>
      </c>
      <c r="G741" s="4">
        <v>66</v>
      </c>
      <c r="H741" s="4">
        <v>0</v>
      </c>
      <c r="I741" t="s">
        <v>16</v>
      </c>
      <c r="J741" t="s">
        <v>17</v>
      </c>
      <c r="K741" s="4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 s="4">
        <v>55437</v>
      </c>
      <c r="G742" s="4">
        <v>64</v>
      </c>
      <c r="H742" s="4">
        <v>36526</v>
      </c>
      <c r="I742" t="s">
        <v>16</v>
      </c>
      <c r="J742" t="s">
        <v>17</v>
      </c>
      <c r="K742" s="4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5">
        <v>249780.82</v>
      </c>
      <c r="F743" s="4">
        <v>68041</v>
      </c>
      <c r="G743" s="4">
        <v>6464</v>
      </c>
      <c r="H743" s="4">
        <v>0</v>
      </c>
      <c r="I743" t="s">
        <v>16</v>
      </c>
      <c r="J743" t="s">
        <v>24</v>
      </c>
      <c r="K743" s="4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5">
        <v>542613.62</v>
      </c>
      <c r="F744" s="4">
        <v>0</v>
      </c>
      <c r="G744" s="4">
        <v>71</v>
      </c>
      <c r="H744" s="4">
        <v>0</v>
      </c>
      <c r="I744" t="s">
        <v>28</v>
      </c>
      <c r="J744" t="s">
        <v>17</v>
      </c>
      <c r="K744" s="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5">
        <v>799814.38</v>
      </c>
      <c r="F745" s="4">
        <v>29066</v>
      </c>
      <c r="G745" s="4">
        <v>100</v>
      </c>
      <c r="H745" s="4">
        <v>0</v>
      </c>
      <c r="I745" t="s">
        <v>16</v>
      </c>
      <c r="J745" t="s">
        <v>29</v>
      </c>
      <c r="K745" s="4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5">
        <v>289762.07</v>
      </c>
      <c r="F746" s="4">
        <v>54337</v>
      </c>
      <c r="G746" s="4">
        <v>72</v>
      </c>
      <c r="H746" s="4">
        <v>0</v>
      </c>
      <c r="I746" t="s">
        <v>16</v>
      </c>
      <c r="J746" t="s">
        <v>17</v>
      </c>
      <c r="K746" s="4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5">
        <v>1159950.22</v>
      </c>
      <c r="F747" s="4">
        <v>67616</v>
      </c>
      <c r="G747" s="4">
        <v>96</v>
      </c>
      <c r="H747" s="4">
        <v>0</v>
      </c>
      <c r="I747" t="s">
        <v>16</v>
      </c>
      <c r="J747" t="s">
        <v>17</v>
      </c>
      <c r="K747" s="4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5">
        <v>1514793.06</v>
      </c>
      <c r="F748" s="4">
        <v>41082</v>
      </c>
      <c r="G748" s="4">
        <v>63</v>
      </c>
      <c r="H748" s="4">
        <v>0</v>
      </c>
      <c r="I748" t="s">
        <v>16</v>
      </c>
      <c r="J748" t="s">
        <v>24</v>
      </c>
      <c r="K748" s="4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5">
        <v>543576.78</v>
      </c>
      <c r="F749" s="4">
        <v>0</v>
      </c>
      <c r="G749" s="4">
        <v>10202</v>
      </c>
      <c r="H749" s="4">
        <v>0</v>
      </c>
      <c r="I749" t="s">
        <v>16</v>
      </c>
      <c r="J749" t="s">
        <v>17</v>
      </c>
      <c r="K749" s="4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5">
        <v>272535.64</v>
      </c>
      <c r="F750" s="4">
        <v>36650</v>
      </c>
      <c r="G750" s="4">
        <v>69</v>
      </c>
      <c r="H750" s="4">
        <v>36526</v>
      </c>
      <c r="I750" t="s">
        <v>16</v>
      </c>
      <c r="J750" t="s">
        <v>17</v>
      </c>
      <c r="K750" s="4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5">
        <v>1329771.23</v>
      </c>
      <c r="F751" s="4">
        <v>50631</v>
      </c>
      <c r="G751" s="4">
        <v>112</v>
      </c>
      <c r="H751" s="4">
        <v>36617</v>
      </c>
      <c r="I751" t="s">
        <v>39</v>
      </c>
      <c r="J751" t="s">
        <v>29</v>
      </c>
      <c r="K751" s="4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 s="4">
        <v>19592</v>
      </c>
      <c r="G752" s="4">
        <v>92</v>
      </c>
      <c r="H752" s="4">
        <v>0</v>
      </c>
      <c r="I752" t="s">
        <v>16</v>
      </c>
      <c r="J752" t="s">
        <v>17</v>
      </c>
      <c r="K752" s="4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5">
        <v>1777154.9</v>
      </c>
      <c r="F753" s="4">
        <v>0</v>
      </c>
      <c r="G753" s="4">
        <v>114</v>
      </c>
      <c r="H753" s="4">
        <v>0</v>
      </c>
      <c r="I753" t="s">
        <v>16</v>
      </c>
      <c r="J753" t="s">
        <v>24</v>
      </c>
      <c r="K753" s="4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5">
        <v>1826927.02</v>
      </c>
      <c r="F754" s="4">
        <v>55761</v>
      </c>
      <c r="G754" s="4">
        <v>115</v>
      </c>
      <c r="H754" s="4">
        <v>0</v>
      </c>
      <c r="I754" t="s">
        <v>16</v>
      </c>
      <c r="J754" t="s">
        <v>78</v>
      </c>
      <c r="K754" s="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5">
        <v>272221.07</v>
      </c>
      <c r="F755" s="4">
        <v>17576</v>
      </c>
      <c r="G755" s="4">
        <v>71</v>
      </c>
      <c r="H755" s="4">
        <v>0</v>
      </c>
      <c r="I755" t="s">
        <v>39</v>
      </c>
      <c r="J755" t="s">
        <v>17</v>
      </c>
      <c r="K755" s="4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5">
        <v>708321.24</v>
      </c>
      <c r="F756" s="4">
        <v>41449</v>
      </c>
      <c r="G756" s="4">
        <v>89</v>
      </c>
      <c r="H756" s="4">
        <v>0</v>
      </c>
      <c r="I756" t="s">
        <v>16</v>
      </c>
      <c r="J756" t="s">
        <v>17</v>
      </c>
      <c r="K756" s="4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5">
        <v>1017971.7</v>
      </c>
      <c r="F757" s="4">
        <v>14290</v>
      </c>
      <c r="G757" s="4">
        <v>271</v>
      </c>
      <c r="H757" s="4">
        <v>0</v>
      </c>
      <c r="I757" t="s">
        <v>16</v>
      </c>
      <c r="J757" t="s">
        <v>65</v>
      </c>
      <c r="K757" s="4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5">
        <v>588950.91</v>
      </c>
      <c r="F758" s="4">
        <v>62007</v>
      </c>
      <c r="G758" s="4">
        <v>73</v>
      </c>
      <c r="H758" s="4">
        <v>0</v>
      </c>
      <c r="I758" t="s">
        <v>16</v>
      </c>
      <c r="J758" t="s">
        <v>17</v>
      </c>
      <c r="K758" s="4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5">
        <v>1577139.34</v>
      </c>
      <c r="F759" s="4">
        <v>21921</v>
      </c>
      <c r="G759" s="4">
        <v>206</v>
      </c>
      <c r="H759" s="4">
        <v>0</v>
      </c>
      <c r="I759" t="s">
        <v>28</v>
      </c>
      <c r="J759" t="s">
        <v>65</v>
      </c>
      <c r="K759" s="4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5">
        <v>528817.32999999996</v>
      </c>
      <c r="F760" s="4">
        <v>42621</v>
      </c>
      <c r="G760" s="4">
        <v>66</v>
      </c>
      <c r="H760" s="4">
        <v>0</v>
      </c>
      <c r="I760" t="s">
        <v>16</v>
      </c>
      <c r="J760" t="s">
        <v>17</v>
      </c>
      <c r="K760" s="4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 s="4">
        <v>0</v>
      </c>
      <c r="G761" s="4">
        <v>87</v>
      </c>
      <c r="H761" s="4">
        <v>36526</v>
      </c>
      <c r="I761" t="s">
        <v>16</v>
      </c>
      <c r="J761" t="s">
        <v>17</v>
      </c>
      <c r="K761" s="4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 s="4">
        <v>63786</v>
      </c>
      <c r="G762" s="4">
        <v>196</v>
      </c>
      <c r="H762" s="4">
        <v>0</v>
      </c>
      <c r="I762" t="s">
        <v>28</v>
      </c>
      <c r="J762" t="s">
        <v>65</v>
      </c>
      <c r="K762" s="4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5">
        <v>734186.13</v>
      </c>
      <c r="F763" s="4">
        <v>0</v>
      </c>
      <c r="G763" s="4">
        <v>104</v>
      </c>
      <c r="H763" s="4">
        <v>36586</v>
      </c>
      <c r="I763" t="s">
        <v>16</v>
      </c>
      <c r="J763" t="s">
        <v>78</v>
      </c>
      <c r="K763" s="4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5">
        <v>791919.7</v>
      </c>
      <c r="F764" s="4">
        <v>82877</v>
      </c>
      <c r="G764" s="4">
        <v>99</v>
      </c>
      <c r="H764" s="4">
        <v>36526</v>
      </c>
      <c r="I764" t="s">
        <v>16</v>
      </c>
      <c r="J764" t="s">
        <v>24</v>
      </c>
      <c r="K764" s="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5">
        <v>216387.02</v>
      </c>
      <c r="F765" s="4">
        <v>0</v>
      </c>
      <c r="G765" s="4">
        <v>63</v>
      </c>
      <c r="H765" s="4">
        <v>0</v>
      </c>
      <c r="I765" t="s">
        <v>28</v>
      </c>
      <c r="J765" t="s">
        <v>24</v>
      </c>
      <c r="K765" s="4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 s="4">
        <v>10475</v>
      </c>
      <c r="G766" s="4">
        <v>88</v>
      </c>
      <c r="H766" s="4">
        <v>36526</v>
      </c>
      <c r="I766" t="s">
        <v>16</v>
      </c>
      <c r="J766" t="s">
        <v>24</v>
      </c>
      <c r="K766" s="4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5">
        <v>520764.08</v>
      </c>
      <c r="F767" s="4">
        <v>21952</v>
      </c>
      <c r="G767" s="4">
        <v>66</v>
      </c>
      <c r="H767" s="4">
        <v>0</v>
      </c>
      <c r="I767" t="s">
        <v>16</v>
      </c>
      <c r="J767" t="s">
        <v>17</v>
      </c>
      <c r="K767" s="4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5">
        <v>2114727.7200000002</v>
      </c>
      <c r="F768" s="4">
        <v>49721</v>
      </c>
      <c r="G768" s="4">
        <v>132</v>
      </c>
      <c r="H768" s="4">
        <v>0</v>
      </c>
      <c r="I768" t="s">
        <v>28</v>
      </c>
      <c r="J768" t="s">
        <v>78</v>
      </c>
      <c r="K768" s="4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 s="4">
        <v>88340</v>
      </c>
      <c r="G769" s="4">
        <v>102</v>
      </c>
      <c r="H769" s="4">
        <v>0</v>
      </c>
      <c r="I769" t="s">
        <v>16</v>
      </c>
      <c r="J769" t="s">
        <v>24</v>
      </c>
      <c r="K769" s="4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5">
        <v>244139.42</v>
      </c>
      <c r="F770" s="4">
        <v>0</v>
      </c>
      <c r="G770" s="4">
        <v>65</v>
      </c>
      <c r="H770" s="4">
        <v>0</v>
      </c>
      <c r="I770" t="s">
        <v>16</v>
      </c>
      <c r="J770" t="s">
        <v>17</v>
      </c>
      <c r="K770" s="4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5">
        <v>653556.06000000006</v>
      </c>
      <c r="F771" s="4">
        <v>0</v>
      </c>
      <c r="G771" s="4">
        <v>65</v>
      </c>
      <c r="H771" s="4">
        <v>0</v>
      </c>
      <c r="I771" t="s">
        <v>28</v>
      </c>
      <c r="J771" t="s">
        <v>17</v>
      </c>
      <c r="K771" s="4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5">
        <v>920659.83</v>
      </c>
      <c r="F772" s="4">
        <v>24589</v>
      </c>
      <c r="G772" s="4">
        <v>82</v>
      </c>
      <c r="H772" s="4">
        <v>0</v>
      </c>
      <c r="I772" t="s">
        <v>16</v>
      </c>
      <c r="J772" t="s">
        <v>24</v>
      </c>
      <c r="K772" s="4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5">
        <v>411858.86</v>
      </c>
      <c r="F773" s="4">
        <v>69379</v>
      </c>
      <c r="G773" s="4">
        <v>103</v>
      </c>
      <c r="H773" s="4">
        <v>0</v>
      </c>
      <c r="I773" t="s">
        <v>16</v>
      </c>
      <c r="J773" t="s">
        <v>24</v>
      </c>
      <c r="K773" s="4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5">
        <v>483820.9</v>
      </c>
      <c r="F774" s="4">
        <v>73769</v>
      </c>
      <c r="G774" s="4">
        <v>61</v>
      </c>
      <c r="H774" s="4">
        <v>36557</v>
      </c>
      <c r="I774" t="s">
        <v>16</v>
      </c>
      <c r="J774" t="s">
        <v>17</v>
      </c>
      <c r="K774" s="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5">
        <v>462554.81</v>
      </c>
      <c r="F775" s="4">
        <v>66670</v>
      </c>
      <c r="G775" s="4">
        <v>114</v>
      </c>
      <c r="H775" s="4">
        <v>0</v>
      </c>
      <c r="I775" t="s">
        <v>16</v>
      </c>
      <c r="J775" t="s">
        <v>29</v>
      </c>
      <c r="K775" s="4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5">
        <v>1404210.3</v>
      </c>
      <c r="F776" s="4">
        <v>88854</v>
      </c>
      <c r="G776" s="4">
        <v>118</v>
      </c>
      <c r="H776" s="4">
        <v>0</v>
      </c>
      <c r="I776" t="s">
        <v>16</v>
      </c>
      <c r="J776" t="s">
        <v>24</v>
      </c>
      <c r="K776" s="4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5">
        <v>754661.35</v>
      </c>
      <c r="F777" s="4">
        <v>31266</v>
      </c>
      <c r="G777" s="4">
        <v>193</v>
      </c>
      <c r="H777" s="4">
        <v>0</v>
      </c>
      <c r="I777" t="s">
        <v>28</v>
      </c>
      <c r="J777" t="s">
        <v>117</v>
      </c>
      <c r="K777" s="4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5">
        <v>251459.20000000001</v>
      </c>
      <c r="F778" s="4">
        <v>43860</v>
      </c>
      <c r="G778" s="4">
        <v>65</v>
      </c>
      <c r="H778" s="4">
        <v>0</v>
      </c>
      <c r="I778" t="s">
        <v>16</v>
      </c>
      <c r="J778" t="s">
        <v>17</v>
      </c>
      <c r="K778" s="4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5">
        <v>517035.84</v>
      </c>
      <c r="F779" s="4">
        <v>89284</v>
      </c>
      <c r="G779" s="4">
        <v>133</v>
      </c>
      <c r="H779" s="4">
        <v>36557</v>
      </c>
      <c r="I779" t="s">
        <v>28</v>
      </c>
      <c r="J779" t="s">
        <v>29</v>
      </c>
      <c r="K779" s="4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 s="4">
        <v>67267</v>
      </c>
      <c r="G780" s="4">
        <v>89</v>
      </c>
      <c r="H780" s="4">
        <v>0</v>
      </c>
      <c r="I780" t="s">
        <v>28</v>
      </c>
      <c r="J780" t="s">
        <v>17</v>
      </c>
      <c r="K780" s="4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5">
        <v>1131813.08</v>
      </c>
      <c r="F781" s="4">
        <v>79270</v>
      </c>
      <c r="G781" s="4">
        <v>95</v>
      </c>
      <c r="H781" s="4">
        <v>36586</v>
      </c>
      <c r="I781" t="s">
        <v>16</v>
      </c>
      <c r="J781" t="s">
        <v>17</v>
      </c>
      <c r="K781" s="4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5">
        <v>427636.36</v>
      </c>
      <c r="F782" s="4">
        <v>36692</v>
      </c>
      <c r="G782" s="4">
        <v>109</v>
      </c>
      <c r="H782" s="4">
        <v>36526</v>
      </c>
      <c r="I782" t="s">
        <v>16</v>
      </c>
      <c r="J782" t="s">
        <v>17</v>
      </c>
      <c r="K782" s="4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5">
        <v>432224.03</v>
      </c>
      <c r="F783" s="4">
        <v>0</v>
      </c>
      <c r="G783" s="4">
        <v>119</v>
      </c>
      <c r="H783" s="4">
        <v>0</v>
      </c>
      <c r="I783" t="s">
        <v>16</v>
      </c>
      <c r="J783" t="s">
        <v>29</v>
      </c>
      <c r="K783" s="4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5">
        <v>800230.83</v>
      </c>
      <c r="F784" s="4">
        <v>0</v>
      </c>
      <c r="G784" s="4">
        <v>107</v>
      </c>
      <c r="H784" s="4">
        <v>0</v>
      </c>
      <c r="I784" t="s">
        <v>28</v>
      </c>
      <c r="J784" t="s">
        <v>29</v>
      </c>
      <c r="K784" s="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 s="4">
        <v>0</v>
      </c>
      <c r="G785" s="4">
        <v>105</v>
      </c>
      <c r="H785" s="4">
        <v>0</v>
      </c>
      <c r="I785" t="s">
        <v>28</v>
      </c>
      <c r="J785" t="s">
        <v>17</v>
      </c>
      <c r="K785" s="4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 s="4">
        <v>0</v>
      </c>
      <c r="G786" s="4">
        <v>135</v>
      </c>
      <c r="H786" s="4">
        <v>0</v>
      </c>
      <c r="I786" t="s">
        <v>16</v>
      </c>
      <c r="J786" t="s">
        <v>29</v>
      </c>
      <c r="K786" s="4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5">
        <v>849635.28</v>
      </c>
      <c r="F787" s="4">
        <v>44624</v>
      </c>
      <c r="G787" s="4">
        <v>71</v>
      </c>
      <c r="H787" s="4">
        <v>36526</v>
      </c>
      <c r="I787" t="s">
        <v>39</v>
      </c>
      <c r="J787" t="s">
        <v>17</v>
      </c>
      <c r="K787" s="4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5">
        <v>2250088.35</v>
      </c>
      <c r="F788" s="4">
        <v>0</v>
      </c>
      <c r="G788" s="4">
        <v>71</v>
      </c>
      <c r="H788" s="4">
        <v>0</v>
      </c>
      <c r="I788" t="s">
        <v>28</v>
      </c>
      <c r="J788" t="s">
        <v>17</v>
      </c>
      <c r="K788" s="4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5">
        <v>1630196.76</v>
      </c>
      <c r="F789" s="4">
        <v>19614</v>
      </c>
      <c r="G789" s="4">
        <v>85</v>
      </c>
      <c r="H789" s="4">
        <v>0</v>
      </c>
      <c r="I789" t="s">
        <v>16</v>
      </c>
      <c r="J789" t="s">
        <v>24</v>
      </c>
      <c r="K789" s="4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5">
        <v>231973.59</v>
      </c>
      <c r="F790" s="4">
        <v>0</v>
      </c>
      <c r="G790" s="4">
        <v>64</v>
      </c>
      <c r="H790" s="4">
        <v>0</v>
      </c>
      <c r="I790" t="s">
        <v>16</v>
      </c>
      <c r="J790" t="s">
        <v>17</v>
      </c>
      <c r="K790" s="4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5">
        <v>871704.98</v>
      </c>
      <c r="F791" s="4">
        <v>83846</v>
      </c>
      <c r="G791" s="4">
        <v>74</v>
      </c>
      <c r="H791" s="4">
        <v>36586</v>
      </c>
      <c r="I791" t="s">
        <v>39</v>
      </c>
      <c r="J791" t="s">
        <v>17</v>
      </c>
      <c r="K791" s="4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 s="4">
        <v>51159</v>
      </c>
      <c r="G792" s="4">
        <v>72</v>
      </c>
      <c r="H792" s="4">
        <v>0</v>
      </c>
      <c r="I792" t="s">
        <v>16</v>
      </c>
      <c r="J792" t="s">
        <v>17</v>
      </c>
      <c r="K792" s="4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 s="4">
        <v>83772</v>
      </c>
      <c r="G793" s="4">
        <v>62</v>
      </c>
      <c r="H793" s="4">
        <v>0</v>
      </c>
      <c r="I793" t="s">
        <v>16</v>
      </c>
      <c r="J793" t="s">
        <v>24</v>
      </c>
      <c r="K793" s="4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5">
        <v>598977.39</v>
      </c>
      <c r="F794" s="4">
        <v>66839</v>
      </c>
      <c r="G794" s="4">
        <v>154</v>
      </c>
      <c r="H794" s="4">
        <v>0</v>
      </c>
      <c r="I794" t="s">
        <v>16</v>
      </c>
      <c r="J794" t="s">
        <v>78</v>
      </c>
      <c r="K794" s="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5">
        <v>2498022.5499999998</v>
      </c>
      <c r="F795" s="4">
        <v>88440</v>
      </c>
      <c r="G795" s="4">
        <v>70</v>
      </c>
      <c r="H795" s="4">
        <v>0</v>
      </c>
      <c r="I795" t="s">
        <v>16</v>
      </c>
      <c r="J795" t="s">
        <v>24</v>
      </c>
      <c r="K795" s="4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5">
        <v>748263.95</v>
      </c>
      <c r="F796" s="4">
        <v>25666</v>
      </c>
      <c r="G796" s="4">
        <v>63</v>
      </c>
      <c r="H796" s="4">
        <v>36557</v>
      </c>
      <c r="I796" t="s">
        <v>16</v>
      </c>
      <c r="J796" t="s">
        <v>17</v>
      </c>
      <c r="K796" s="4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5">
        <v>245757.6</v>
      </c>
      <c r="F797" s="4">
        <v>52926</v>
      </c>
      <c r="G797" s="4">
        <v>61</v>
      </c>
      <c r="H797" s="4">
        <v>0</v>
      </c>
      <c r="I797" t="s">
        <v>16</v>
      </c>
      <c r="J797" t="s">
        <v>17</v>
      </c>
      <c r="K797" s="4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5">
        <v>237974.12</v>
      </c>
      <c r="F798" s="4">
        <v>0</v>
      </c>
      <c r="G798" s="4">
        <v>67</v>
      </c>
      <c r="H798" s="4">
        <v>0</v>
      </c>
      <c r="I798" t="s">
        <v>16</v>
      </c>
      <c r="J798" t="s">
        <v>17</v>
      </c>
      <c r="K798" s="4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5">
        <v>828696.44</v>
      </c>
      <c r="F799" s="4">
        <v>40001</v>
      </c>
      <c r="G799" s="4">
        <v>70</v>
      </c>
      <c r="H799" s="4">
        <v>0</v>
      </c>
      <c r="I799" t="s">
        <v>16</v>
      </c>
      <c r="J799" t="s">
        <v>17</v>
      </c>
      <c r="K799" s="4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 s="4">
        <v>0</v>
      </c>
      <c r="G800" s="4">
        <v>70</v>
      </c>
      <c r="H800" s="4">
        <v>0</v>
      </c>
      <c r="I800" t="s">
        <v>16</v>
      </c>
      <c r="J800" t="s">
        <v>17</v>
      </c>
      <c r="K800" s="4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 s="4">
        <v>18024</v>
      </c>
      <c r="G801" s="4">
        <v>65</v>
      </c>
      <c r="H801" s="4">
        <v>0</v>
      </c>
      <c r="I801" t="s">
        <v>16</v>
      </c>
      <c r="J801" t="s">
        <v>24</v>
      </c>
      <c r="K801" s="4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5">
        <v>1319792.8899999999</v>
      </c>
      <c r="F802" s="4">
        <v>0</v>
      </c>
      <c r="G802" s="4">
        <v>68</v>
      </c>
      <c r="H802" s="4">
        <v>36586</v>
      </c>
      <c r="I802" t="s">
        <v>16</v>
      </c>
      <c r="J802" t="s">
        <v>17</v>
      </c>
      <c r="K802" s="4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5">
        <v>280391.67</v>
      </c>
      <c r="F803" s="4">
        <v>23220</v>
      </c>
      <c r="G803" s="4">
        <v>74</v>
      </c>
      <c r="H803" s="4">
        <v>0</v>
      </c>
      <c r="I803" t="s">
        <v>16</v>
      </c>
      <c r="J803" t="s">
        <v>17</v>
      </c>
      <c r="K803" s="4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5">
        <v>864650.41</v>
      </c>
      <c r="F804" s="4">
        <v>64125</v>
      </c>
      <c r="G804" s="4">
        <v>108</v>
      </c>
      <c r="H804" s="4">
        <v>0</v>
      </c>
      <c r="I804" t="s">
        <v>16</v>
      </c>
      <c r="J804" t="s">
        <v>29</v>
      </c>
      <c r="K804" s="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5">
        <v>742587.06</v>
      </c>
      <c r="F805" s="4">
        <v>58042</v>
      </c>
      <c r="G805" s="4">
        <v>62</v>
      </c>
      <c r="H805" s="4">
        <v>0</v>
      </c>
      <c r="I805" t="s">
        <v>28</v>
      </c>
      <c r="J805" t="s">
        <v>17</v>
      </c>
      <c r="K805" s="4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5">
        <v>452873.74</v>
      </c>
      <c r="F806" s="4">
        <v>90034</v>
      </c>
      <c r="G806" s="4">
        <v>112</v>
      </c>
      <c r="H806" s="4">
        <v>0</v>
      </c>
      <c r="I806" t="s">
        <v>28</v>
      </c>
      <c r="J806" t="s">
        <v>29</v>
      </c>
      <c r="K806" s="4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 s="4">
        <v>27972</v>
      </c>
      <c r="G807" s="4">
        <v>61</v>
      </c>
      <c r="H807" s="4">
        <v>0</v>
      </c>
      <c r="I807" t="s">
        <v>39</v>
      </c>
      <c r="J807" t="s">
        <v>17</v>
      </c>
      <c r="K807" s="4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5">
        <v>729294.88</v>
      </c>
      <c r="F808" s="4">
        <v>0</v>
      </c>
      <c r="G808" s="4">
        <v>65</v>
      </c>
      <c r="H808" s="4">
        <v>0</v>
      </c>
      <c r="I808" t="s">
        <v>16</v>
      </c>
      <c r="J808" t="s">
        <v>17</v>
      </c>
      <c r="K808" s="4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5">
        <v>318435.52</v>
      </c>
      <c r="F809" s="4">
        <v>50989</v>
      </c>
      <c r="G809" s="4">
        <v>80</v>
      </c>
      <c r="H809" s="4">
        <v>0</v>
      </c>
      <c r="I809" t="s">
        <v>28</v>
      </c>
      <c r="J809" t="s">
        <v>17</v>
      </c>
      <c r="K809" s="4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5">
        <v>1131520.3700000001</v>
      </c>
      <c r="F810" s="4">
        <v>11885</v>
      </c>
      <c r="G810" s="4">
        <v>101</v>
      </c>
      <c r="H810" s="4">
        <v>0</v>
      </c>
      <c r="I810" t="s">
        <v>39</v>
      </c>
      <c r="J810" t="s">
        <v>17</v>
      </c>
      <c r="K810" s="4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5">
        <v>253070.51</v>
      </c>
      <c r="F811" s="4">
        <v>89451</v>
      </c>
      <c r="G811" s="4">
        <v>63</v>
      </c>
      <c r="H811" s="4">
        <v>0</v>
      </c>
      <c r="I811" t="s">
        <v>39</v>
      </c>
      <c r="J811" t="s">
        <v>17</v>
      </c>
      <c r="K811" s="4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5">
        <v>1836155.53</v>
      </c>
      <c r="F812" s="4">
        <v>0</v>
      </c>
      <c r="G812" s="4">
        <v>182</v>
      </c>
      <c r="H812" s="4">
        <v>0</v>
      </c>
      <c r="I812" t="s">
        <v>16</v>
      </c>
      <c r="J812" t="s">
        <v>117</v>
      </c>
      <c r="K812" s="4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5">
        <v>864153</v>
      </c>
      <c r="F813" s="4">
        <v>78904</v>
      </c>
      <c r="G813" s="4">
        <v>109</v>
      </c>
      <c r="H813" s="4">
        <v>0</v>
      </c>
      <c r="I813" t="s">
        <v>16</v>
      </c>
      <c r="J813" t="s">
        <v>29</v>
      </c>
      <c r="K813" s="4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5">
        <v>327853.19</v>
      </c>
      <c r="F814" s="4">
        <v>70247</v>
      </c>
      <c r="G814" s="4">
        <v>83</v>
      </c>
      <c r="H814" s="4">
        <v>36526</v>
      </c>
      <c r="I814" t="s">
        <v>16</v>
      </c>
      <c r="J814" t="s">
        <v>17</v>
      </c>
      <c r="K814" s="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5">
        <v>527198.21</v>
      </c>
      <c r="F815" s="4">
        <v>32653</v>
      </c>
      <c r="G815" s="4">
        <v>67</v>
      </c>
      <c r="H815" s="4">
        <v>0</v>
      </c>
      <c r="I815" t="s">
        <v>16</v>
      </c>
      <c r="J815" t="s">
        <v>24</v>
      </c>
      <c r="K815" s="4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 s="4">
        <v>93595</v>
      </c>
      <c r="G816" s="4">
        <v>97</v>
      </c>
      <c r="H816" s="4">
        <v>36617</v>
      </c>
      <c r="I816" t="s">
        <v>39</v>
      </c>
      <c r="J816" t="s">
        <v>17</v>
      </c>
      <c r="K816" s="4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5">
        <v>1395556.96</v>
      </c>
      <c r="F817" s="4">
        <v>90279</v>
      </c>
      <c r="G817" s="4">
        <v>115</v>
      </c>
      <c r="H817" s="4">
        <v>0</v>
      </c>
      <c r="I817" t="s">
        <v>16</v>
      </c>
      <c r="J817" t="s">
        <v>29</v>
      </c>
      <c r="K817" s="4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5">
        <v>500152.75</v>
      </c>
      <c r="F818" s="4">
        <v>0</v>
      </c>
      <c r="G818" s="4">
        <v>72</v>
      </c>
      <c r="H818" s="4">
        <v>0</v>
      </c>
      <c r="I818" t="s">
        <v>16</v>
      </c>
      <c r="J818" t="s">
        <v>17</v>
      </c>
      <c r="K818" s="4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5">
        <v>708283.04</v>
      </c>
      <c r="F819" s="4">
        <v>53310</v>
      </c>
      <c r="G819" s="4">
        <v>189</v>
      </c>
      <c r="H819" s="4">
        <v>36586</v>
      </c>
      <c r="I819" t="s">
        <v>16</v>
      </c>
      <c r="J819" t="s">
        <v>117</v>
      </c>
      <c r="K819" s="4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 s="4">
        <v>0</v>
      </c>
      <c r="G820" s="4">
        <v>105</v>
      </c>
      <c r="H820" s="4">
        <v>0</v>
      </c>
      <c r="I820" t="s">
        <v>16</v>
      </c>
      <c r="J820" t="s">
        <v>17</v>
      </c>
      <c r="K820" s="4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5">
        <v>1255088.2</v>
      </c>
      <c r="F821" s="4">
        <v>22234</v>
      </c>
      <c r="G821" s="4">
        <v>160</v>
      </c>
      <c r="H821" s="4">
        <v>0</v>
      </c>
      <c r="I821" t="s">
        <v>16</v>
      </c>
      <c r="J821" t="s">
        <v>29</v>
      </c>
      <c r="K821" s="4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5">
        <v>3219660.04</v>
      </c>
      <c r="F822" s="4">
        <v>91375</v>
      </c>
      <c r="G822" s="4">
        <v>99</v>
      </c>
      <c r="H822" s="4">
        <v>0</v>
      </c>
      <c r="I822" t="s">
        <v>16</v>
      </c>
      <c r="J822" t="s">
        <v>24</v>
      </c>
      <c r="K822" s="4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5">
        <v>679377.41</v>
      </c>
      <c r="F823" s="4">
        <v>22250</v>
      </c>
      <c r="G823" s="4">
        <v>86</v>
      </c>
      <c r="H823" s="4">
        <v>0</v>
      </c>
      <c r="I823" t="s">
        <v>16</v>
      </c>
      <c r="J823" t="s">
        <v>24</v>
      </c>
      <c r="K823" s="4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5">
        <v>527231.97</v>
      </c>
      <c r="F824" s="4">
        <v>0</v>
      </c>
      <c r="G824" s="4">
        <v>80</v>
      </c>
      <c r="H824" s="4">
        <v>0</v>
      </c>
      <c r="I824" t="s">
        <v>16</v>
      </c>
      <c r="J824" t="s">
        <v>17</v>
      </c>
      <c r="K824" s="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5">
        <v>626534.32999999996</v>
      </c>
      <c r="F825" s="4">
        <v>0</v>
      </c>
      <c r="G825" s="4">
        <v>84</v>
      </c>
      <c r="H825" s="4">
        <v>36526</v>
      </c>
      <c r="I825" t="s">
        <v>16</v>
      </c>
      <c r="J825" t="s">
        <v>17</v>
      </c>
      <c r="K825" s="4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5">
        <v>854758.61</v>
      </c>
      <c r="F826" s="4">
        <v>51179</v>
      </c>
      <c r="G826" s="4">
        <v>71</v>
      </c>
      <c r="H826" s="4">
        <v>0</v>
      </c>
      <c r="I826" t="s">
        <v>28</v>
      </c>
      <c r="J826" t="s">
        <v>17</v>
      </c>
      <c r="K826" s="4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5">
        <v>278742.37</v>
      </c>
      <c r="F827" s="4">
        <v>38667</v>
      </c>
      <c r="G827" s="4">
        <v>72</v>
      </c>
      <c r="H827" s="4">
        <v>0</v>
      </c>
      <c r="I827" t="s">
        <v>16</v>
      </c>
      <c r="J827" t="s">
        <v>17</v>
      </c>
      <c r="K827" s="4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5">
        <v>462680.11</v>
      </c>
      <c r="F828" s="4">
        <v>79487</v>
      </c>
      <c r="G828" s="4">
        <v>114</v>
      </c>
      <c r="H828" s="4">
        <v>0</v>
      </c>
      <c r="I828" t="s">
        <v>28</v>
      </c>
      <c r="J828" t="s">
        <v>29</v>
      </c>
      <c r="K828" s="4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5">
        <v>866336.4</v>
      </c>
      <c r="F829" s="4">
        <v>67763</v>
      </c>
      <c r="G829" s="4">
        <v>107</v>
      </c>
      <c r="H829" s="4">
        <v>36557</v>
      </c>
      <c r="I829" t="s">
        <v>16</v>
      </c>
      <c r="J829" t="s">
        <v>17</v>
      </c>
      <c r="K829" s="4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 s="4">
        <v>0</v>
      </c>
      <c r="G830" s="4">
        <v>62</v>
      </c>
      <c r="H830" s="4">
        <v>36557</v>
      </c>
      <c r="I830" t="s">
        <v>28</v>
      </c>
      <c r="J830" t="s">
        <v>17</v>
      </c>
      <c r="K830" s="4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5">
        <v>517081.15</v>
      </c>
      <c r="F831" s="4">
        <v>0</v>
      </c>
      <c r="G831" s="4">
        <v>71</v>
      </c>
      <c r="H831" s="4">
        <v>0</v>
      </c>
      <c r="I831" t="s">
        <v>28</v>
      </c>
      <c r="J831" t="s">
        <v>17</v>
      </c>
      <c r="K831" s="4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5">
        <v>896028.02</v>
      </c>
      <c r="F832" s="4">
        <v>71943</v>
      </c>
      <c r="G832" s="4">
        <v>112</v>
      </c>
      <c r="H832" s="4">
        <v>0</v>
      </c>
      <c r="I832" t="s">
        <v>28</v>
      </c>
      <c r="J832" t="s">
        <v>29</v>
      </c>
      <c r="K832" s="4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5">
        <v>547183.43000000005</v>
      </c>
      <c r="F833" s="4">
        <v>53526</v>
      </c>
      <c r="G833" s="4">
        <v>68</v>
      </c>
      <c r="H833" s="4">
        <v>0</v>
      </c>
      <c r="I833" t="s">
        <v>16</v>
      </c>
      <c r="J833" t="s">
        <v>17</v>
      </c>
      <c r="K833" s="4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 s="4">
        <v>35005</v>
      </c>
      <c r="G834" s="4">
        <v>295</v>
      </c>
      <c r="H834" s="4">
        <v>0</v>
      </c>
      <c r="I834" t="s">
        <v>16</v>
      </c>
      <c r="J834" t="s">
        <v>117</v>
      </c>
      <c r="K834" s="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 s="4">
        <v>24721</v>
      </c>
      <c r="G835" s="4">
        <v>67</v>
      </c>
      <c r="H835" s="4">
        <v>0</v>
      </c>
      <c r="I835" t="s">
        <v>16</v>
      </c>
      <c r="J835" t="s">
        <v>17</v>
      </c>
      <c r="K835" s="4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 s="4">
        <v>0</v>
      </c>
      <c r="G836" s="4">
        <v>102</v>
      </c>
      <c r="H836" s="4">
        <v>36557</v>
      </c>
      <c r="I836" t="s">
        <v>16</v>
      </c>
      <c r="J836" t="s">
        <v>17</v>
      </c>
      <c r="K836" s="4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5">
        <v>575744.23</v>
      </c>
      <c r="F837" s="4">
        <v>88997</v>
      </c>
      <c r="G837" s="4">
        <v>72</v>
      </c>
      <c r="H837" s="4">
        <v>0</v>
      </c>
      <c r="I837" t="s">
        <v>16</v>
      </c>
      <c r="J837" t="s">
        <v>17</v>
      </c>
      <c r="K837" s="4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5">
        <v>4022401.36</v>
      </c>
      <c r="F838" s="4">
        <v>48587</v>
      </c>
      <c r="G838" s="4">
        <v>111</v>
      </c>
      <c r="H838" s="4">
        <v>0</v>
      </c>
      <c r="I838" t="s">
        <v>16</v>
      </c>
      <c r="J838" t="s">
        <v>29</v>
      </c>
      <c r="K838" s="4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5">
        <v>270148.83</v>
      </c>
      <c r="F839" s="4">
        <v>76310</v>
      </c>
      <c r="G839" s="4">
        <v>67</v>
      </c>
      <c r="H839" s="4">
        <v>0</v>
      </c>
      <c r="I839" t="s">
        <v>16</v>
      </c>
      <c r="J839" t="s">
        <v>24</v>
      </c>
      <c r="K839" s="4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5">
        <v>371243.05</v>
      </c>
      <c r="F840" s="4">
        <v>73205</v>
      </c>
      <c r="G840" s="4">
        <v>92</v>
      </c>
      <c r="H840" s="4">
        <v>0</v>
      </c>
      <c r="I840" t="s">
        <v>16</v>
      </c>
      <c r="J840" t="s">
        <v>17</v>
      </c>
      <c r="K840" s="4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5">
        <v>2185084</v>
      </c>
      <c r="F841" s="4">
        <v>51056</v>
      </c>
      <c r="G841" s="4">
        <v>78</v>
      </c>
      <c r="H841" s="4">
        <v>0</v>
      </c>
      <c r="I841" t="s">
        <v>16</v>
      </c>
      <c r="J841" t="s">
        <v>17</v>
      </c>
      <c r="K841" s="4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 s="4">
        <v>58414</v>
      </c>
      <c r="G842" s="4">
        <v>210</v>
      </c>
      <c r="H842" s="4">
        <v>36557</v>
      </c>
      <c r="I842" t="s">
        <v>16</v>
      </c>
      <c r="J842" t="s">
        <v>65</v>
      </c>
      <c r="K842" s="4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5">
        <v>823703.79</v>
      </c>
      <c r="F843" s="4">
        <v>23940</v>
      </c>
      <c r="G843" s="4">
        <v>107</v>
      </c>
      <c r="H843" s="4">
        <v>0</v>
      </c>
      <c r="I843" t="s">
        <v>16</v>
      </c>
      <c r="J843" t="s">
        <v>29</v>
      </c>
      <c r="K843" s="4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5">
        <v>224347.39</v>
      </c>
      <c r="F844" s="4">
        <v>0</v>
      </c>
      <c r="G844" s="4">
        <v>62</v>
      </c>
      <c r="H844" s="4">
        <v>0</v>
      </c>
      <c r="I844" t="s">
        <v>16</v>
      </c>
      <c r="J844" t="s">
        <v>17</v>
      </c>
      <c r="K844" s="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5">
        <v>843446.41</v>
      </c>
      <c r="F845" s="4">
        <v>44216</v>
      </c>
      <c r="G845" s="4">
        <v>71</v>
      </c>
      <c r="H845" s="4">
        <v>0</v>
      </c>
      <c r="I845" t="s">
        <v>16</v>
      </c>
      <c r="J845" t="s">
        <v>17</v>
      </c>
      <c r="K845" s="4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 s="4">
        <v>27972</v>
      </c>
      <c r="G846" s="4">
        <v>61</v>
      </c>
      <c r="H846" s="4">
        <v>0</v>
      </c>
      <c r="I846" t="s">
        <v>28</v>
      </c>
      <c r="J846" t="s">
        <v>17</v>
      </c>
      <c r="K846" s="4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5">
        <v>517002.6</v>
      </c>
      <c r="F847" s="4">
        <v>0</v>
      </c>
      <c r="G847" s="4">
        <v>69</v>
      </c>
      <c r="H847" s="4">
        <v>0</v>
      </c>
      <c r="I847" t="s">
        <v>16</v>
      </c>
      <c r="J847" t="s">
        <v>17</v>
      </c>
      <c r="K847" s="4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5">
        <v>264144.61</v>
      </c>
      <c r="F848" s="4">
        <v>29305</v>
      </c>
      <c r="G848" s="4">
        <v>66</v>
      </c>
      <c r="H848" s="4">
        <v>0</v>
      </c>
      <c r="I848" t="s">
        <v>16</v>
      </c>
      <c r="J848" t="s">
        <v>17</v>
      </c>
      <c r="K848" s="4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5">
        <v>279068.3</v>
      </c>
      <c r="F849" s="4">
        <v>53882</v>
      </c>
      <c r="G849" s="4">
        <v>69</v>
      </c>
      <c r="H849" s="4">
        <v>0</v>
      </c>
      <c r="I849" t="s">
        <v>16</v>
      </c>
      <c r="J849" t="s">
        <v>17</v>
      </c>
      <c r="K849" s="4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 s="4">
        <v>91757</v>
      </c>
      <c r="G850" s="4">
        <v>69</v>
      </c>
      <c r="H850" s="4">
        <v>36526</v>
      </c>
      <c r="I850" t="s">
        <v>16</v>
      </c>
      <c r="J850" t="s">
        <v>17</v>
      </c>
      <c r="K850" s="4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5">
        <v>757953.27</v>
      </c>
      <c r="F851" s="4">
        <v>33906</v>
      </c>
      <c r="G851" s="4">
        <v>64</v>
      </c>
      <c r="H851" s="4">
        <v>0</v>
      </c>
      <c r="I851" t="s">
        <v>16</v>
      </c>
      <c r="J851" t="s">
        <v>24</v>
      </c>
      <c r="K851" s="4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5">
        <v>1097878.03</v>
      </c>
      <c r="F852" s="4">
        <v>68158</v>
      </c>
      <c r="G852" s="4">
        <v>139</v>
      </c>
      <c r="H852" s="4">
        <v>36526</v>
      </c>
      <c r="I852" t="s">
        <v>16</v>
      </c>
      <c r="J852" t="s">
        <v>29</v>
      </c>
      <c r="K852" s="4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 s="4">
        <v>0</v>
      </c>
      <c r="G853" s="4">
        <v>134</v>
      </c>
      <c r="H853" s="4">
        <v>36586</v>
      </c>
      <c r="I853" t="s">
        <v>16</v>
      </c>
      <c r="J853" t="s">
        <v>29</v>
      </c>
      <c r="K853" s="4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 s="4">
        <v>42165</v>
      </c>
      <c r="G854" s="4">
        <v>123</v>
      </c>
      <c r="H854" s="4">
        <v>0</v>
      </c>
      <c r="I854" t="s">
        <v>28</v>
      </c>
      <c r="J854" t="s">
        <v>29</v>
      </c>
      <c r="K854" s="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 s="4">
        <v>0</v>
      </c>
      <c r="G855" s="4">
        <v>101</v>
      </c>
      <c r="H855" s="4">
        <v>0</v>
      </c>
      <c r="I855" t="s">
        <v>16</v>
      </c>
      <c r="J855" t="s">
        <v>29</v>
      </c>
      <c r="K855" s="4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 s="4">
        <v>30817</v>
      </c>
      <c r="G856" s="4">
        <v>88</v>
      </c>
      <c r="H856" s="4">
        <v>0</v>
      </c>
      <c r="I856" t="s">
        <v>16</v>
      </c>
      <c r="J856" t="s">
        <v>17</v>
      </c>
      <c r="K856" s="4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5">
        <v>258218.53</v>
      </c>
      <c r="F857" s="4">
        <v>68074</v>
      </c>
      <c r="G857" s="4">
        <v>65</v>
      </c>
      <c r="H857" s="4">
        <v>0</v>
      </c>
      <c r="I857" t="s">
        <v>16</v>
      </c>
      <c r="J857" t="s">
        <v>17</v>
      </c>
      <c r="K857" s="4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5">
        <v>1166509.78</v>
      </c>
      <c r="F858" s="4">
        <v>84978</v>
      </c>
      <c r="G858" s="4">
        <v>35353</v>
      </c>
      <c r="H858" s="4">
        <v>36526</v>
      </c>
      <c r="I858" t="s">
        <v>28</v>
      </c>
      <c r="J858" t="s">
        <v>17</v>
      </c>
      <c r="K858" s="4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5">
        <v>739628.37</v>
      </c>
      <c r="F859" s="4">
        <v>71135</v>
      </c>
      <c r="G859" s="4">
        <v>92</v>
      </c>
      <c r="H859" s="4">
        <v>36526</v>
      </c>
      <c r="I859" t="s">
        <v>16</v>
      </c>
      <c r="J859" t="s">
        <v>17</v>
      </c>
      <c r="K859" s="4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5">
        <v>433079.98</v>
      </c>
      <c r="F860" s="4">
        <v>0</v>
      </c>
      <c r="G860" s="4">
        <v>61</v>
      </c>
      <c r="H860" s="4">
        <v>0</v>
      </c>
      <c r="I860" t="s">
        <v>16</v>
      </c>
      <c r="J860" t="s">
        <v>24</v>
      </c>
      <c r="K860" s="4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5">
        <v>907576.82</v>
      </c>
      <c r="F861" s="4">
        <v>37722</v>
      </c>
      <c r="G861" s="4">
        <v>116</v>
      </c>
      <c r="H861" s="4">
        <v>0</v>
      </c>
      <c r="I861" t="s">
        <v>16</v>
      </c>
      <c r="J861" t="s">
        <v>78</v>
      </c>
      <c r="K861" s="4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5">
        <v>1463545.16</v>
      </c>
      <c r="F862" s="4">
        <v>0</v>
      </c>
      <c r="G862" s="4">
        <v>139</v>
      </c>
      <c r="H862" s="4">
        <v>0</v>
      </c>
      <c r="I862" t="s">
        <v>16</v>
      </c>
      <c r="J862" t="s">
        <v>29</v>
      </c>
      <c r="K862" s="4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5">
        <v>856476.82</v>
      </c>
      <c r="F863" s="4">
        <v>95697</v>
      </c>
      <c r="G863" s="4">
        <v>107</v>
      </c>
      <c r="H863" s="4">
        <v>0</v>
      </c>
      <c r="I863" t="s">
        <v>16</v>
      </c>
      <c r="J863" t="s">
        <v>78</v>
      </c>
      <c r="K863" s="4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5">
        <v>1156568.75</v>
      </c>
      <c r="F864" s="4">
        <v>64642</v>
      </c>
      <c r="G864" s="4">
        <v>96</v>
      </c>
      <c r="H864" s="4">
        <v>0</v>
      </c>
      <c r="I864" t="s">
        <v>16</v>
      </c>
      <c r="J864" t="s">
        <v>17</v>
      </c>
      <c r="K864" s="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5">
        <v>277104.5</v>
      </c>
      <c r="F865" s="4">
        <v>50071</v>
      </c>
      <c r="G865" s="4">
        <v>71</v>
      </c>
      <c r="H865" s="4">
        <v>0</v>
      </c>
      <c r="I865" t="s">
        <v>16</v>
      </c>
      <c r="J865" t="s">
        <v>24</v>
      </c>
      <c r="K865" s="4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 s="4">
        <v>46754</v>
      </c>
      <c r="G866" s="4">
        <v>106</v>
      </c>
      <c r="H866" s="4">
        <v>36526</v>
      </c>
      <c r="I866" t="s">
        <v>16</v>
      </c>
      <c r="J866" t="s">
        <v>29</v>
      </c>
      <c r="K866" s="4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 s="4">
        <v>64801</v>
      </c>
      <c r="G867" s="4">
        <v>64</v>
      </c>
      <c r="H867" s="4">
        <v>0</v>
      </c>
      <c r="I867" t="s">
        <v>28</v>
      </c>
      <c r="J867" t="s">
        <v>17</v>
      </c>
      <c r="K867" s="4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5">
        <v>332309.25</v>
      </c>
      <c r="F868" s="4">
        <v>70410</v>
      </c>
      <c r="G868" s="4">
        <v>83</v>
      </c>
      <c r="H868" s="4">
        <v>0</v>
      </c>
      <c r="I868" t="s">
        <v>16</v>
      </c>
      <c r="J868" t="s">
        <v>17</v>
      </c>
      <c r="K868" s="4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5">
        <v>523433.17</v>
      </c>
      <c r="F869" s="4">
        <v>66957</v>
      </c>
      <c r="G869" s="4">
        <v>131</v>
      </c>
      <c r="H869" s="4">
        <v>36526</v>
      </c>
      <c r="I869" t="s">
        <v>16</v>
      </c>
      <c r="J869" t="s">
        <v>29</v>
      </c>
      <c r="K869" s="4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5">
        <v>2470959.96</v>
      </c>
      <c r="F870" s="4">
        <v>24213</v>
      </c>
      <c r="G870" s="4">
        <v>78</v>
      </c>
      <c r="H870" s="4">
        <v>36526</v>
      </c>
      <c r="I870" t="s">
        <v>16</v>
      </c>
      <c r="J870" t="s">
        <v>17</v>
      </c>
      <c r="K870" s="4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5">
        <v>1778627.78</v>
      </c>
      <c r="F871" s="4">
        <v>99790</v>
      </c>
      <c r="G871" s="4">
        <v>6464</v>
      </c>
      <c r="H871" s="4">
        <v>0</v>
      </c>
      <c r="I871" t="s">
        <v>16</v>
      </c>
      <c r="J871" t="s">
        <v>17</v>
      </c>
      <c r="K871" s="4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5">
        <v>255122.67</v>
      </c>
      <c r="F872" s="4">
        <v>79751</v>
      </c>
      <c r="G872" s="4">
        <v>63</v>
      </c>
      <c r="H872" s="4">
        <v>0</v>
      </c>
      <c r="I872" t="s">
        <v>16</v>
      </c>
      <c r="J872" t="s">
        <v>24</v>
      </c>
      <c r="K872" s="4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5">
        <v>724771.37</v>
      </c>
      <c r="F873" s="4">
        <v>86122</v>
      </c>
      <c r="G873" s="4">
        <v>182</v>
      </c>
      <c r="H873" s="4">
        <v>36526</v>
      </c>
      <c r="I873" t="s">
        <v>16</v>
      </c>
      <c r="J873" t="s">
        <v>65</v>
      </c>
      <c r="K873" s="4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5">
        <v>453884.78</v>
      </c>
      <c r="F874" s="4">
        <v>82297</v>
      </c>
      <c r="G874" s="4">
        <v>116</v>
      </c>
      <c r="H874" s="4">
        <v>0</v>
      </c>
      <c r="I874" t="s">
        <v>16</v>
      </c>
      <c r="J874" t="s">
        <v>78</v>
      </c>
      <c r="K874" s="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5">
        <v>3164210.46</v>
      </c>
      <c r="F875" s="4">
        <v>89057</v>
      </c>
      <c r="G875" s="4">
        <v>98</v>
      </c>
      <c r="H875" s="4">
        <v>0</v>
      </c>
      <c r="I875" t="s">
        <v>28</v>
      </c>
      <c r="J875" t="s">
        <v>24</v>
      </c>
      <c r="K875" s="4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 s="4">
        <v>43259</v>
      </c>
      <c r="G876" s="4">
        <v>73</v>
      </c>
      <c r="H876" s="4">
        <v>0</v>
      </c>
      <c r="I876" t="s">
        <v>16</v>
      </c>
      <c r="J876" t="s">
        <v>17</v>
      </c>
      <c r="K876" s="4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 s="4">
        <v>0</v>
      </c>
      <c r="G877" s="4">
        <v>79</v>
      </c>
      <c r="H877" s="4">
        <v>0</v>
      </c>
      <c r="I877" t="s">
        <v>16</v>
      </c>
      <c r="J877" t="s">
        <v>17</v>
      </c>
      <c r="K877" s="4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 s="4">
        <v>25064</v>
      </c>
      <c r="G878" s="4">
        <v>62</v>
      </c>
      <c r="H878" s="4">
        <v>0</v>
      </c>
      <c r="I878" t="s">
        <v>16</v>
      </c>
      <c r="J878" t="s">
        <v>17</v>
      </c>
      <c r="K878" s="4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5">
        <v>463716.4</v>
      </c>
      <c r="F879" s="4">
        <v>25816</v>
      </c>
      <c r="G879" s="4">
        <v>119</v>
      </c>
      <c r="H879" s="4">
        <v>0</v>
      </c>
      <c r="I879" t="s">
        <v>16</v>
      </c>
      <c r="J879" t="s">
        <v>78</v>
      </c>
      <c r="K879" s="4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5">
        <v>535719.27</v>
      </c>
      <c r="F880" s="4">
        <v>0</v>
      </c>
      <c r="G880" s="4">
        <v>73</v>
      </c>
      <c r="H880" s="4">
        <v>0</v>
      </c>
      <c r="I880" t="s">
        <v>16</v>
      </c>
      <c r="J880" t="s">
        <v>17</v>
      </c>
      <c r="K880" s="4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5">
        <v>539197.1</v>
      </c>
      <c r="F881" s="4">
        <v>41662</v>
      </c>
      <c r="G881" s="4">
        <v>69</v>
      </c>
      <c r="H881" s="4">
        <v>0</v>
      </c>
      <c r="I881" t="s">
        <v>28</v>
      </c>
      <c r="J881" t="s">
        <v>17</v>
      </c>
      <c r="K881" s="4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5">
        <v>369414.05</v>
      </c>
      <c r="F882" s="4">
        <v>96170</v>
      </c>
      <c r="G882" s="4">
        <v>92</v>
      </c>
      <c r="H882" s="4">
        <v>0</v>
      </c>
      <c r="I882" t="s">
        <v>16</v>
      </c>
      <c r="J882" t="s">
        <v>17</v>
      </c>
      <c r="K882" s="4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5">
        <v>504041.24</v>
      </c>
      <c r="F883" s="4">
        <v>46072</v>
      </c>
      <c r="G883" s="4">
        <v>64</v>
      </c>
      <c r="H883" s="4">
        <v>0</v>
      </c>
      <c r="I883" t="s">
        <v>16</v>
      </c>
      <c r="J883" t="s">
        <v>17</v>
      </c>
      <c r="K883" s="4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5">
        <v>2749542.19</v>
      </c>
      <c r="F884" s="4">
        <v>37931</v>
      </c>
      <c r="G884" s="4">
        <v>99</v>
      </c>
      <c r="H884" s="4">
        <v>0</v>
      </c>
      <c r="I884" t="s">
        <v>16</v>
      </c>
      <c r="J884" t="s">
        <v>17</v>
      </c>
      <c r="K884" s="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 s="4">
        <v>35127</v>
      </c>
      <c r="G885" s="4">
        <v>62</v>
      </c>
      <c r="H885" s="4">
        <v>0</v>
      </c>
      <c r="I885" t="s">
        <v>16</v>
      </c>
      <c r="J885" t="s">
        <v>17</v>
      </c>
      <c r="K885" s="4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5">
        <v>2738281.89</v>
      </c>
      <c r="F886" s="4">
        <v>45473</v>
      </c>
      <c r="G886" s="4">
        <v>76</v>
      </c>
      <c r="H886" s="4">
        <v>0</v>
      </c>
      <c r="I886" t="s">
        <v>39</v>
      </c>
      <c r="J886" t="s">
        <v>24</v>
      </c>
      <c r="K886" s="4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5">
        <v>522710.19</v>
      </c>
      <c r="F887" s="4">
        <v>93087</v>
      </c>
      <c r="G887" s="4">
        <v>131</v>
      </c>
      <c r="H887" s="4">
        <v>36586</v>
      </c>
      <c r="I887" t="s">
        <v>28</v>
      </c>
      <c r="J887" t="s">
        <v>78</v>
      </c>
      <c r="K887" s="4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5">
        <v>259009.6</v>
      </c>
      <c r="F888" s="4">
        <v>22398</v>
      </c>
      <c r="G888" s="4">
        <v>67</v>
      </c>
      <c r="H888" s="4">
        <v>36557</v>
      </c>
      <c r="I888" t="s">
        <v>16</v>
      </c>
      <c r="J888" t="s">
        <v>17</v>
      </c>
      <c r="K888" s="4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 s="4">
        <v>92983</v>
      </c>
      <c r="G889" s="4">
        <v>87</v>
      </c>
      <c r="H889" s="4">
        <v>36526</v>
      </c>
      <c r="I889" t="s">
        <v>28</v>
      </c>
      <c r="J889" t="s">
        <v>17</v>
      </c>
      <c r="K889" s="4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5">
        <v>858127.87</v>
      </c>
      <c r="F890" s="4">
        <v>27689</v>
      </c>
      <c r="G890" s="4">
        <v>239</v>
      </c>
      <c r="H890" s="4">
        <v>36557</v>
      </c>
      <c r="I890" t="s">
        <v>16</v>
      </c>
      <c r="J890" t="s">
        <v>65</v>
      </c>
      <c r="K890" s="4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5">
        <v>946311.33</v>
      </c>
      <c r="F891" s="4">
        <v>69654</v>
      </c>
      <c r="G891" s="4">
        <v>118</v>
      </c>
      <c r="H891" s="4">
        <v>0</v>
      </c>
      <c r="I891" t="s">
        <v>28</v>
      </c>
      <c r="J891" t="s">
        <v>29</v>
      </c>
      <c r="K891" s="4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5">
        <v>1344100.64</v>
      </c>
      <c r="F892" s="4">
        <v>80744</v>
      </c>
      <c r="G892" s="4">
        <v>111</v>
      </c>
      <c r="H892" s="4">
        <v>0</v>
      </c>
      <c r="I892" t="s">
        <v>16</v>
      </c>
      <c r="J892" t="s">
        <v>29</v>
      </c>
      <c r="K892" s="4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5">
        <v>388650.48</v>
      </c>
      <c r="F893" s="4">
        <v>0</v>
      </c>
      <c r="G893" s="4">
        <v>112</v>
      </c>
      <c r="H893" s="4">
        <v>0</v>
      </c>
      <c r="I893" t="s">
        <v>28</v>
      </c>
      <c r="J893" t="s">
        <v>29</v>
      </c>
      <c r="K893" s="4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5">
        <v>678489.37</v>
      </c>
      <c r="F894" s="4">
        <v>0</v>
      </c>
      <c r="G894" s="4">
        <v>64</v>
      </c>
      <c r="H894" s="4">
        <v>36526</v>
      </c>
      <c r="I894" t="s">
        <v>16</v>
      </c>
      <c r="J894" t="s">
        <v>17</v>
      </c>
      <c r="K894" s="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5">
        <v>2359468.02</v>
      </c>
      <c r="F895" s="4">
        <v>76358</v>
      </c>
      <c r="G895" s="4">
        <v>66</v>
      </c>
      <c r="H895" s="4">
        <v>0</v>
      </c>
      <c r="I895" t="s">
        <v>39</v>
      </c>
      <c r="J895" t="s">
        <v>17</v>
      </c>
      <c r="K895" s="4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5">
        <v>253862.63</v>
      </c>
      <c r="F896" s="4">
        <v>18608</v>
      </c>
      <c r="G896" s="4">
        <v>71</v>
      </c>
      <c r="H896" s="4">
        <v>0</v>
      </c>
      <c r="I896" t="s">
        <v>28</v>
      </c>
      <c r="J896" t="s">
        <v>17</v>
      </c>
      <c r="K896" s="4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 s="4">
        <v>73168</v>
      </c>
      <c r="G897" s="4">
        <v>70</v>
      </c>
      <c r="H897" s="4">
        <v>0</v>
      </c>
      <c r="I897" t="s">
        <v>16</v>
      </c>
      <c r="J897" t="s">
        <v>17</v>
      </c>
      <c r="K897" s="4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5">
        <v>1168137.43</v>
      </c>
      <c r="F898" s="4">
        <v>70930</v>
      </c>
      <c r="G898" s="4">
        <v>99</v>
      </c>
      <c r="H898" s="4">
        <v>0</v>
      </c>
      <c r="I898" t="s">
        <v>16</v>
      </c>
      <c r="J898" t="s">
        <v>17</v>
      </c>
      <c r="K898" s="4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5">
        <v>2599775</v>
      </c>
      <c r="F899" s="4">
        <v>62262</v>
      </c>
      <c r="G899" s="4">
        <v>72</v>
      </c>
      <c r="H899" s="4">
        <v>0</v>
      </c>
      <c r="I899" t="s">
        <v>28</v>
      </c>
      <c r="J899" t="s">
        <v>17</v>
      </c>
      <c r="K899" s="4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5">
        <v>1377836.93</v>
      </c>
      <c r="F900" s="4">
        <v>91474</v>
      </c>
      <c r="G900" s="4">
        <v>113</v>
      </c>
      <c r="H900" s="4">
        <v>0</v>
      </c>
      <c r="I900" t="s">
        <v>28</v>
      </c>
      <c r="J900" t="s">
        <v>24</v>
      </c>
      <c r="K900" s="4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5">
        <v>492318.17</v>
      </c>
      <c r="F901" s="4">
        <v>61469</v>
      </c>
      <c r="G901" s="4">
        <v>63</v>
      </c>
      <c r="H901" s="4">
        <v>36647</v>
      </c>
      <c r="I901" t="s">
        <v>16</v>
      </c>
      <c r="J901" t="s">
        <v>17</v>
      </c>
      <c r="K901" s="4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5">
        <v>227233.54</v>
      </c>
      <c r="F902" s="4">
        <v>16618</v>
      </c>
      <c r="G902" s="4">
        <v>62</v>
      </c>
      <c r="H902" s="4">
        <v>0</v>
      </c>
      <c r="I902" t="s">
        <v>39</v>
      </c>
      <c r="J902" t="s">
        <v>17</v>
      </c>
      <c r="K902" s="4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5">
        <v>1489539.8</v>
      </c>
      <c r="F903" s="4">
        <v>48081</v>
      </c>
      <c r="G903" s="4">
        <v>188</v>
      </c>
      <c r="H903" s="4">
        <v>0</v>
      </c>
      <c r="I903" t="s">
        <v>16</v>
      </c>
      <c r="J903" t="s">
        <v>65</v>
      </c>
      <c r="K903" s="4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 s="4">
        <v>67632</v>
      </c>
      <c r="G904" s="4">
        <v>121</v>
      </c>
      <c r="H904" s="4">
        <v>0</v>
      </c>
      <c r="I904" t="s">
        <v>16</v>
      </c>
      <c r="J904" t="s">
        <v>78</v>
      </c>
      <c r="K904" s="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5">
        <v>942297.41</v>
      </c>
      <c r="F905" s="4">
        <v>34115</v>
      </c>
      <c r="G905" s="4">
        <v>119</v>
      </c>
      <c r="H905" s="4">
        <v>0</v>
      </c>
      <c r="I905" t="s">
        <v>16</v>
      </c>
      <c r="J905" t="s">
        <v>29</v>
      </c>
      <c r="K905" s="4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5">
        <v>383735.76</v>
      </c>
      <c r="F906" s="4">
        <v>23051</v>
      </c>
      <c r="G906" s="4">
        <v>99</v>
      </c>
      <c r="H906" s="4">
        <v>0</v>
      </c>
      <c r="I906" t="s">
        <v>16</v>
      </c>
      <c r="J906" t="s">
        <v>24</v>
      </c>
      <c r="K906" s="4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 s="4">
        <v>23748</v>
      </c>
      <c r="G907" s="4">
        <v>99</v>
      </c>
      <c r="H907" s="4">
        <v>0</v>
      </c>
      <c r="I907" t="s">
        <v>16</v>
      </c>
      <c r="J907" t="s">
        <v>17</v>
      </c>
      <c r="K907" s="4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5">
        <v>815913.66</v>
      </c>
      <c r="F908" s="4">
        <v>40589</v>
      </c>
      <c r="G908" s="4">
        <v>69</v>
      </c>
      <c r="H908" s="4">
        <v>0</v>
      </c>
      <c r="I908" t="s">
        <v>28</v>
      </c>
      <c r="J908" t="s">
        <v>17</v>
      </c>
      <c r="K908" s="4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5">
        <v>1948049.98</v>
      </c>
      <c r="F909" s="4">
        <v>50809</v>
      </c>
      <c r="G909" s="4">
        <v>83</v>
      </c>
      <c r="H909" s="4">
        <v>0</v>
      </c>
      <c r="I909" t="s">
        <v>16</v>
      </c>
      <c r="J909" t="s">
        <v>17</v>
      </c>
      <c r="K909" s="4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5">
        <v>391936.67</v>
      </c>
      <c r="F910" s="4">
        <v>66676</v>
      </c>
      <c r="G910" s="4">
        <v>97</v>
      </c>
      <c r="H910" s="4">
        <v>0</v>
      </c>
      <c r="I910" t="s">
        <v>16</v>
      </c>
      <c r="J910" t="s">
        <v>17</v>
      </c>
      <c r="K910" s="4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5">
        <v>798514.21</v>
      </c>
      <c r="F911" s="4">
        <v>52339</v>
      </c>
      <c r="G911" s="4">
        <v>70</v>
      </c>
      <c r="H911" s="4">
        <v>36586</v>
      </c>
      <c r="I911" t="s">
        <v>28</v>
      </c>
      <c r="J911" t="s">
        <v>17</v>
      </c>
      <c r="K911" s="4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5">
        <v>1216874.49</v>
      </c>
      <c r="F912" s="4">
        <v>14973</v>
      </c>
      <c r="G912" s="4">
        <v>115</v>
      </c>
      <c r="H912" s="4">
        <v>0</v>
      </c>
      <c r="I912" t="s">
        <v>16</v>
      </c>
      <c r="J912" t="s">
        <v>29</v>
      </c>
      <c r="K912" s="4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5">
        <v>584932.15</v>
      </c>
      <c r="F913" s="4">
        <v>0</v>
      </c>
      <c r="G913" s="4">
        <v>83</v>
      </c>
      <c r="H913" s="4">
        <v>0</v>
      </c>
      <c r="I913" t="s">
        <v>28</v>
      </c>
      <c r="J913" t="s">
        <v>17</v>
      </c>
      <c r="K913" s="4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5">
        <v>508583.66</v>
      </c>
      <c r="F914" s="4">
        <v>31546</v>
      </c>
      <c r="G914" s="4">
        <v>65</v>
      </c>
      <c r="H914" s="4">
        <v>0</v>
      </c>
      <c r="I914" t="s">
        <v>16</v>
      </c>
      <c r="J914" t="s">
        <v>17</v>
      </c>
      <c r="K914" s="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5">
        <v>290393.98</v>
      </c>
      <c r="F915" s="4">
        <v>67763</v>
      </c>
      <c r="G915" s="4">
        <v>73</v>
      </c>
      <c r="H915" s="4">
        <v>36526</v>
      </c>
      <c r="I915" t="s">
        <v>16</v>
      </c>
      <c r="J915" t="s">
        <v>17</v>
      </c>
      <c r="K915" s="4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5">
        <v>627317.34</v>
      </c>
      <c r="F916" s="4">
        <v>20836</v>
      </c>
      <c r="G916" s="4">
        <v>79</v>
      </c>
      <c r="H916" s="4">
        <v>0</v>
      </c>
      <c r="I916" t="s">
        <v>28</v>
      </c>
      <c r="J916" t="s">
        <v>17</v>
      </c>
      <c r="K916" s="4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5">
        <v>1832141.9</v>
      </c>
      <c r="F917" s="4">
        <v>88592</v>
      </c>
      <c r="G917" s="4">
        <v>76</v>
      </c>
      <c r="H917" s="4">
        <v>0</v>
      </c>
      <c r="I917" t="s">
        <v>28</v>
      </c>
      <c r="J917" t="s">
        <v>17</v>
      </c>
      <c r="K917" s="4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5">
        <v>517870.42</v>
      </c>
      <c r="F918" s="4">
        <v>66943</v>
      </c>
      <c r="G918" s="4">
        <v>65</v>
      </c>
      <c r="H918" s="4">
        <v>36526</v>
      </c>
      <c r="I918" t="s">
        <v>39</v>
      </c>
      <c r="J918" t="s">
        <v>17</v>
      </c>
      <c r="K918" s="4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5">
        <v>1402435.84</v>
      </c>
      <c r="F919" s="4">
        <v>81872</v>
      </c>
      <c r="G919" s="4">
        <v>115</v>
      </c>
      <c r="H919" s="4">
        <v>0</v>
      </c>
      <c r="I919" t="s">
        <v>39</v>
      </c>
      <c r="J919" t="s">
        <v>17</v>
      </c>
      <c r="K919" s="4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5">
        <v>530943.59</v>
      </c>
      <c r="F920" s="4">
        <v>22404</v>
      </c>
      <c r="G920" s="4">
        <v>70</v>
      </c>
      <c r="H920" s="4">
        <v>36526</v>
      </c>
      <c r="I920" t="s">
        <v>16</v>
      </c>
      <c r="J920" t="s">
        <v>17</v>
      </c>
      <c r="K920" s="4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5">
        <v>494980.38</v>
      </c>
      <c r="F921" s="4">
        <v>21342</v>
      </c>
      <c r="G921" s="4">
        <v>62</v>
      </c>
      <c r="H921" s="4">
        <v>0</v>
      </c>
      <c r="I921" t="s">
        <v>16</v>
      </c>
      <c r="J921" t="s">
        <v>17</v>
      </c>
      <c r="K921" s="4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5">
        <v>859566.53</v>
      </c>
      <c r="F922" s="4">
        <v>34621</v>
      </c>
      <c r="G922" s="4">
        <v>108</v>
      </c>
      <c r="H922" s="4">
        <v>36526</v>
      </c>
      <c r="I922" t="s">
        <v>28</v>
      </c>
      <c r="J922" t="s">
        <v>29</v>
      </c>
      <c r="K922" s="4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 s="4">
        <v>62396</v>
      </c>
      <c r="G923" s="4">
        <v>64</v>
      </c>
      <c r="H923" s="4">
        <v>0</v>
      </c>
      <c r="I923" t="s">
        <v>16</v>
      </c>
      <c r="J923" t="s">
        <v>17</v>
      </c>
      <c r="K923" s="4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 s="4">
        <v>97212</v>
      </c>
      <c r="G924" s="4">
        <v>93</v>
      </c>
      <c r="H924" s="4">
        <v>0</v>
      </c>
      <c r="I924" t="s">
        <v>16</v>
      </c>
      <c r="J924" t="s">
        <v>24</v>
      </c>
      <c r="K924" s="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5">
        <v>275574.8</v>
      </c>
      <c r="F925" s="4">
        <v>49648</v>
      </c>
      <c r="G925" s="4">
        <v>70</v>
      </c>
      <c r="H925" s="4">
        <v>0</v>
      </c>
      <c r="I925" t="s">
        <v>16</v>
      </c>
      <c r="J925" t="s">
        <v>17</v>
      </c>
      <c r="K925" s="4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5">
        <v>488033.96</v>
      </c>
      <c r="F926" s="4">
        <v>97984</v>
      </c>
      <c r="G926" s="4">
        <v>61</v>
      </c>
      <c r="H926" s="4">
        <v>36526</v>
      </c>
      <c r="I926" t="s">
        <v>16</v>
      </c>
      <c r="J926" t="s">
        <v>17</v>
      </c>
      <c r="K926" s="4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5">
        <v>905190.53</v>
      </c>
      <c r="F927" s="4">
        <v>26308</v>
      </c>
      <c r="G927" s="4">
        <v>114</v>
      </c>
      <c r="H927" s="4">
        <v>0</v>
      </c>
      <c r="I927" t="s">
        <v>28</v>
      </c>
      <c r="J927" t="s">
        <v>29</v>
      </c>
      <c r="K927" s="4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5">
        <v>1011544.62</v>
      </c>
      <c r="F928" s="4">
        <v>63528</v>
      </c>
      <c r="G928" s="4">
        <v>256</v>
      </c>
      <c r="H928" s="4">
        <v>0</v>
      </c>
      <c r="I928" t="s">
        <v>16</v>
      </c>
      <c r="J928" t="s">
        <v>117</v>
      </c>
      <c r="K928" s="4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 s="4">
        <v>20225</v>
      </c>
      <c r="G929" s="4">
        <v>114</v>
      </c>
      <c r="H929" s="4">
        <v>36526</v>
      </c>
      <c r="I929" t="s">
        <v>39</v>
      </c>
      <c r="J929" t="s">
        <v>29</v>
      </c>
      <c r="K929" s="4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 s="4">
        <v>0</v>
      </c>
      <c r="G930" s="4">
        <v>112</v>
      </c>
      <c r="H930" s="4">
        <v>0</v>
      </c>
      <c r="I930" t="s">
        <v>16</v>
      </c>
      <c r="J930" t="s">
        <v>29</v>
      </c>
      <c r="K930" s="4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5">
        <v>772699.36</v>
      </c>
      <c r="F931" s="4">
        <v>87620</v>
      </c>
      <c r="G931" s="4">
        <v>64</v>
      </c>
      <c r="H931" s="4">
        <v>0</v>
      </c>
      <c r="I931" t="s">
        <v>16</v>
      </c>
      <c r="J931" t="s">
        <v>17</v>
      </c>
      <c r="K931" s="4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5">
        <v>831113.59</v>
      </c>
      <c r="F932" s="4">
        <v>0</v>
      </c>
      <c r="G932" s="4">
        <v>72</v>
      </c>
      <c r="H932" s="4">
        <v>0</v>
      </c>
      <c r="I932" t="s">
        <v>28</v>
      </c>
      <c r="J932" t="s">
        <v>17</v>
      </c>
      <c r="K932" s="4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5">
        <v>257402.04</v>
      </c>
      <c r="F933" s="4">
        <v>34990</v>
      </c>
      <c r="G933" s="4">
        <v>65</v>
      </c>
      <c r="H933" s="4">
        <v>0</v>
      </c>
      <c r="I933" t="s">
        <v>16</v>
      </c>
      <c r="J933" t="s">
        <v>17</v>
      </c>
      <c r="K933" s="4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5">
        <v>572732.71</v>
      </c>
      <c r="F934" s="4">
        <v>99934</v>
      </c>
      <c r="G934" s="4">
        <v>71</v>
      </c>
      <c r="H934" s="4">
        <v>0</v>
      </c>
      <c r="I934" t="s">
        <v>39</v>
      </c>
      <c r="J934" t="s">
        <v>17</v>
      </c>
      <c r="K934" s="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5">
        <v>367914.21</v>
      </c>
      <c r="F935" s="4">
        <v>60804</v>
      </c>
      <c r="G935" s="4">
        <v>92</v>
      </c>
      <c r="H935" s="4">
        <v>0</v>
      </c>
      <c r="I935" t="s">
        <v>16</v>
      </c>
      <c r="J935" t="s">
        <v>17</v>
      </c>
      <c r="K935" s="4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5">
        <v>274451.96000000002</v>
      </c>
      <c r="F936" s="4">
        <v>94648</v>
      </c>
      <c r="G936" s="4">
        <v>69</v>
      </c>
      <c r="H936" s="4">
        <v>0</v>
      </c>
      <c r="I936" t="s">
        <v>16</v>
      </c>
      <c r="J936" t="s">
        <v>17</v>
      </c>
      <c r="K936" s="4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5">
        <v>563674.03</v>
      </c>
      <c r="F937" s="4">
        <v>24516</v>
      </c>
      <c r="G937" s="4">
        <v>71</v>
      </c>
      <c r="H937" s="4">
        <v>0</v>
      </c>
      <c r="I937" t="s">
        <v>16</v>
      </c>
      <c r="J937" t="s">
        <v>17</v>
      </c>
      <c r="K937" s="4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5">
        <v>1687038.82</v>
      </c>
      <c r="F938" s="4">
        <v>61063</v>
      </c>
      <c r="G938" s="4">
        <v>85</v>
      </c>
      <c r="H938" s="4">
        <v>0</v>
      </c>
      <c r="I938" t="s">
        <v>16</v>
      </c>
      <c r="J938" t="s">
        <v>17</v>
      </c>
      <c r="K938" s="4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5">
        <v>273800.2</v>
      </c>
      <c r="F939" s="4">
        <v>0</v>
      </c>
      <c r="G939" s="4">
        <v>74</v>
      </c>
      <c r="H939" s="4">
        <v>0</v>
      </c>
      <c r="I939" t="s">
        <v>16</v>
      </c>
      <c r="J939" t="s">
        <v>24</v>
      </c>
      <c r="K939" s="4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5">
        <v>464470.05</v>
      </c>
      <c r="F940" s="4">
        <v>0</v>
      </c>
      <c r="G940" s="4">
        <v>64</v>
      </c>
      <c r="H940" s="4">
        <v>0</v>
      </c>
      <c r="I940" t="s">
        <v>28</v>
      </c>
      <c r="J940" t="s">
        <v>17</v>
      </c>
      <c r="K940" s="4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5">
        <v>474668.65</v>
      </c>
      <c r="F941" s="4">
        <v>15169</v>
      </c>
      <c r="G941" s="4">
        <v>63</v>
      </c>
      <c r="H941" s="4">
        <v>0</v>
      </c>
      <c r="I941" t="s">
        <v>16</v>
      </c>
      <c r="J941" t="s">
        <v>17</v>
      </c>
      <c r="K941" s="4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5">
        <v>1687432.82</v>
      </c>
      <c r="F942" s="4">
        <v>55390</v>
      </c>
      <c r="G942" s="4">
        <v>71</v>
      </c>
      <c r="H942" s="4">
        <v>0</v>
      </c>
      <c r="I942" t="s">
        <v>28</v>
      </c>
      <c r="J942" t="s">
        <v>24</v>
      </c>
      <c r="K942" s="4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5">
        <v>238760.61</v>
      </c>
      <c r="F943" s="4">
        <v>27592</v>
      </c>
      <c r="G943" s="4">
        <v>62</v>
      </c>
      <c r="H943" s="4">
        <v>0</v>
      </c>
      <c r="I943" t="s">
        <v>16</v>
      </c>
      <c r="J943" t="s">
        <v>17</v>
      </c>
      <c r="K943" s="4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5">
        <v>446533.57</v>
      </c>
      <c r="F944" s="4">
        <v>61846</v>
      </c>
      <c r="G944" s="4">
        <v>112</v>
      </c>
      <c r="H944" s="4">
        <v>0</v>
      </c>
      <c r="I944" t="s">
        <v>16</v>
      </c>
      <c r="J944" t="s">
        <v>29</v>
      </c>
      <c r="K944" s="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5">
        <v>459162.59</v>
      </c>
      <c r="F945" s="4">
        <v>83297</v>
      </c>
      <c r="G945" s="4">
        <v>113</v>
      </c>
      <c r="H945" s="4">
        <v>0</v>
      </c>
      <c r="I945" t="s">
        <v>16</v>
      </c>
      <c r="J945" t="s">
        <v>29</v>
      </c>
      <c r="K945" s="4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5">
        <v>1309258.58</v>
      </c>
      <c r="F946" s="4">
        <v>0</v>
      </c>
      <c r="G946" s="4">
        <v>188</v>
      </c>
      <c r="H946" s="4">
        <v>0</v>
      </c>
      <c r="I946" t="s">
        <v>39</v>
      </c>
      <c r="J946" t="s">
        <v>117</v>
      </c>
      <c r="K946" s="4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5">
        <v>911226.66</v>
      </c>
      <c r="F947" s="4">
        <v>0</v>
      </c>
      <c r="G947" s="4">
        <v>90</v>
      </c>
      <c r="H947" s="4">
        <v>0</v>
      </c>
      <c r="I947" t="s">
        <v>16</v>
      </c>
      <c r="J947" t="s">
        <v>17</v>
      </c>
      <c r="K947" s="4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5">
        <v>416516.66</v>
      </c>
      <c r="F948" s="4">
        <v>55897</v>
      </c>
      <c r="G948" s="4">
        <v>104</v>
      </c>
      <c r="H948" s="4">
        <v>0</v>
      </c>
      <c r="I948" t="s">
        <v>16</v>
      </c>
      <c r="J948" t="s">
        <v>17</v>
      </c>
      <c r="K948" s="4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5">
        <v>265998.06</v>
      </c>
      <c r="F949" s="4">
        <v>21297</v>
      </c>
      <c r="G949" s="4">
        <v>71</v>
      </c>
      <c r="H949" s="4">
        <v>0</v>
      </c>
      <c r="I949" t="s">
        <v>16</v>
      </c>
      <c r="J949" t="s">
        <v>17</v>
      </c>
      <c r="K949" s="4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5">
        <v>1198659.21</v>
      </c>
      <c r="F950" s="4">
        <v>87560</v>
      </c>
      <c r="G950" s="4">
        <v>98</v>
      </c>
      <c r="H950" s="4">
        <v>36526</v>
      </c>
      <c r="I950" t="s">
        <v>16</v>
      </c>
      <c r="J950" t="s">
        <v>24</v>
      </c>
      <c r="K950" s="4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5">
        <v>289873.27</v>
      </c>
      <c r="F951" s="4">
        <v>0</v>
      </c>
      <c r="G951" s="4">
        <v>96</v>
      </c>
      <c r="H951" s="4">
        <v>36617</v>
      </c>
      <c r="I951" t="s">
        <v>16</v>
      </c>
      <c r="J951" t="s">
        <v>17</v>
      </c>
      <c r="K951" s="4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5">
        <v>289424.39</v>
      </c>
      <c r="F952" s="4">
        <v>0</v>
      </c>
      <c r="G952" s="4">
        <v>85</v>
      </c>
      <c r="H952" s="4">
        <v>0</v>
      </c>
      <c r="I952" t="s">
        <v>16</v>
      </c>
      <c r="J952" t="s">
        <v>17</v>
      </c>
      <c r="K952" s="4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5">
        <v>350045.44</v>
      </c>
      <c r="F953" s="4">
        <v>89398</v>
      </c>
      <c r="G953" s="4">
        <v>86</v>
      </c>
      <c r="H953" s="4">
        <v>0</v>
      </c>
      <c r="I953" t="s">
        <v>16</v>
      </c>
      <c r="J953" t="s">
        <v>17</v>
      </c>
      <c r="K953" s="4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5">
        <v>262180.86</v>
      </c>
      <c r="F954" s="4">
        <v>36843</v>
      </c>
      <c r="G954" s="4">
        <v>68</v>
      </c>
      <c r="H954" s="4">
        <v>36586</v>
      </c>
      <c r="I954" t="s">
        <v>28</v>
      </c>
      <c r="J954" t="s">
        <v>17</v>
      </c>
      <c r="K954" s="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5">
        <v>1022180.5</v>
      </c>
      <c r="F955" s="4">
        <v>0</v>
      </c>
      <c r="G955" s="4">
        <v>134</v>
      </c>
      <c r="H955" s="4">
        <v>0</v>
      </c>
      <c r="I955" t="s">
        <v>16</v>
      </c>
      <c r="J955" t="s">
        <v>29</v>
      </c>
      <c r="K955" s="4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 s="4">
        <v>34946</v>
      </c>
      <c r="G956" s="4">
        <v>65</v>
      </c>
      <c r="H956" s="4">
        <v>0</v>
      </c>
      <c r="I956" t="s">
        <v>16</v>
      </c>
      <c r="J956" t="s">
        <v>24</v>
      </c>
      <c r="K956" s="4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5">
        <v>624259.56999999995</v>
      </c>
      <c r="F957" s="4">
        <v>75680</v>
      </c>
      <c r="G957" s="4">
        <v>78</v>
      </c>
      <c r="H957" s="4">
        <v>0</v>
      </c>
      <c r="I957" t="s">
        <v>16</v>
      </c>
      <c r="J957" t="s">
        <v>17</v>
      </c>
      <c r="K957" s="4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5">
        <v>522028.1</v>
      </c>
      <c r="F958" s="4">
        <v>0</v>
      </c>
      <c r="G958" s="4">
        <v>69</v>
      </c>
      <c r="H958" s="4">
        <v>0</v>
      </c>
      <c r="I958" t="s">
        <v>16</v>
      </c>
      <c r="J958" t="s">
        <v>17</v>
      </c>
      <c r="K958" s="4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5">
        <v>313643.21000000002</v>
      </c>
      <c r="F959" s="4">
        <v>49532</v>
      </c>
      <c r="G959" s="4">
        <v>79</v>
      </c>
      <c r="H959" s="4">
        <v>36526</v>
      </c>
      <c r="I959" t="s">
        <v>16</v>
      </c>
      <c r="J959" t="s">
        <v>17</v>
      </c>
      <c r="K959" s="4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5">
        <v>452536.58</v>
      </c>
      <c r="F960" s="4">
        <v>10269</v>
      </c>
      <c r="G960" s="4">
        <v>65</v>
      </c>
      <c r="H960" s="4">
        <v>0</v>
      </c>
      <c r="I960" t="s">
        <v>16</v>
      </c>
      <c r="J960" t="s">
        <v>24</v>
      </c>
      <c r="K960" s="4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 s="4">
        <v>49714</v>
      </c>
      <c r="G961" s="4">
        <v>63</v>
      </c>
      <c r="H961" s="4">
        <v>36586</v>
      </c>
      <c r="I961" t="s">
        <v>16</v>
      </c>
      <c r="J961" t="s">
        <v>17</v>
      </c>
      <c r="K961" s="4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 s="4">
        <v>77517</v>
      </c>
      <c r="G962" s="4">
        <v>129</v>
      </c>
      <c r="H962" s="4">
        <v>0</v>
      </c>
      <c r="I962" t="s">
        <v>28</v>
      </c>
      <c r="J962" t="s">
        <v>29</v>
      </c>
      <c r="K962" s="4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 s="4">
        <v>81082</v>
      </c>
      <c r="G963" s="4">
        <v>73</v>
      </c>
      <c r="H963" s="4">
        <v>0</v>
      </c>
      <c r="I963" t="s">
        <v>16</v>
      </c>
      <c r="J963" t="s">
        <v>17</v>
      </c>
      <c r="K963" s="4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5">
        <v>1065688.2</v>
      </c>
      <c r="F964" s="4">
        <v>72540</v>
      </c>
      <c r="G964" s="4">
        <v>88</v>
      </c>
      <c r="H964" s="4">
        <v>0</v>
      </c>
      <c r="I964" t="s">
        <v>28</v>
      </c>
      <c r="J964" t="s">
        <v>24</v>
      </c>
      <c r="K964" s="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5">
        <v>228961.87</v>
      </c>
      <c r="F965" s="4">
        <v>0</v>
      </c>
      <c r="G965" s="4">
        <v>65</v>
      </c>
      <c r="H965" s="4">
        <v>0</v>
      </c>
      <c r="I965" t="s">
        <v>16</v>
      </c>
      <c r="J965" t="s">
        <v>17</v>
      </c>
      <c r="K965" s="4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 s="4">
        <v>61546</v>
      </c>
      <c r="G966" s="4">
        <v>68</v>
      </c>
      <c r="H966" s="4">
        <v>0</v>
      </c>
      <c r="I966" t="s">
        <v>28</v>
      </c>
      <c r="J966" t="s">
        <v>24</v>
      </c>
      <c r="K966" s="4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5">
        <v>795615.01</v>
      </c>
      <c r="F967" s="4">
        <v>44818</v>
      </c>
      <c r="G967" s="4">
        <v>67</v>
      </c>
      <c r="H967" s="4">
        <v>36526</v>
      </c>
      <c r="I967" t="s">
        <v>16</v>
      </c>
      <c r="J967" t="s">
        <v>24</v>
      </c>
      <c r="K967" s="4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5">
        <v>445811.34</v>
      </c>
      <c r="F968" s="4">
        <v>17622</v>
      </c>
      <c r="G968" s="4">
        <v>65</v>
      </c>
      <c r="H968" s="4">
        <v>36526</v>
      </c>
      <c r="I968" t="s">
        <v>16</v>
      </c>
      <c r="J968" t="s">
        <v>17</v>
      </c>
      <c r="K968" s="4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5">
        <v>255505.15</v>
      </c>
      <c r="F969" s="4">
        <v>0</v>
      </c>
      <c r="G969" s="4">
        <v>72</v>
      </c>
      <c r="H969" s="4">
        <v>0</v>
      </c>
      <c r="I969" t="s">
        <v>16</v>
      </c>
      <c r="J969" t="s">
        <v>17</v>
      </c>
      <c r="K969" s="4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5">
        <v>330799.90000000002</v>
      </c>
      <c r="F970" s="4">
        <v>79797</v>
      </c>
      <c r="G970" s="4">
        <v>84</v>
      </c>
      <c r="H970" s="4">
        <v>0</v>
      </c>
      <c r="I970" t="s">
        <v>28</v>
      </c>
      <c r="J970" t="s">
        <v>24</v>
      </c>
      <c r="K970" s="4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5">
        <v>845905.32</v>
      </c>
      <c r="F971" s="4">
        <v>92717</v>
      </c>
      <c r="G971" s="4">
        <v>70</v>
      </c>
      <c r="H971" s="4">
        <v>0</v>
      </c>
      <c r="I971" t="s">
        <v>16</v>
      </c>
      <c r="J971" t="s">
        <v>24</v>
      </c>
      <c r="K971" s="4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5">
        <v>1335012.0900000001</v>
      </c>
      <c r="F972" s="4">
        <v>28919</v>
      </c>
      <c r="G972" s="4">
        <v>173</v>
      </c>
      <c r="H972" s="4">
        <v>0</v>
      </c>
      <c r="I972" t="s">
        <v>16</v>
      </c>
      <c r="J972" t="s">
        <v>29</v>
      </c>
      <c r="K972" s="4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5">
        <v>493122.13</v>
      </c>
      <c r="F973" s="4">
        <v>0</v>
      </c>
      <c r="G973" s="4">
        <v>68</v>
      </c>
      <c r="H973" s="4">
        <v>0</v>
      </c>
      <c r="I973" t="s">
        <v>16</v>
      </c>
      <c r="J973" t="s">
        <v>17</v>
      </c>
      <c r="K973" s="4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5">
        <v>777683.52</v>
      </c>
      <c r="F974" s="4">
        <v>63568</v>
      </c>
      <c r="G974" s="4">
        <v>65</v>
      </c>
      <c r="H974" s="4">
        <v>0</v>
      </c>
      <c r="I974" t="s">
        <v>28</v>
      </c>
      <c r="J974" t="s">
        <v>24</v>
      </c>
      <c r="K974" s="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5">
        <v>255367.22</v>
      </c>
      <c r="F975" s="4">
        <v>73935</v>
      </c>
      <c r="G975" s="4">
        <v>64</v>
      </c>
      <c r="H975" s="4">
        <v>36526</v>
      </c>
      <c r="I975" t="s">
        <v>28</v>
      </c>
      <c r="J975" t="s">
        <v>17</v>
      </c>
      <c r="K975" s="4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5">
        <v>487646.97</v>
      </c>
      <c r="F976" s="4">
        <v>0</v>
      </c>
      <c r="G976" s="4">
        <v>66</v>
      </c>
      <c r="H976" s="4">
        <v>0</v>
      </c>
      <c r="I976" t="s">
        <v>28</v>
      </c>
      <c r="J976" t="s">
        <v>24</v>
      </c>
      <c r="K976" s="4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5">
        <v>903430.58</v>
      </c>
      <c r="F977" s="4">
        <v>18846</v>
      </c>
      <c r="G977" s="4">
        <v>115</v>
      </c>
      <c r="H977" s="4">
        <v>0</v>
      </c>
      <c r="I977" t="s">
        <v>16</v>
      </c>
      <c r="J977" t="s">
        <v>29</v>
      </c>
      <c r="K977" s="4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5">
        <v>810591.08</v>
      </c>
      <c r="F978" s="4">
        <v>38893</v>
      </c>
      <c r="G978" s="4">
        <v>103</v>
      </c>
      <c r="H978" s="4">
        <v>0</v>
      </c>
      <c r="I978" t="s">
        <v>16</v>
      </c>
      <c r="J978" t="s">
        <v>29</v>
      </c>
      <c r="K978" s="4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 s="4">
        <v>0</v>
      </c>
      <c r="G979" s="4">
        <v>153</v>
      </c>
      <c r="H979" s="4">
        <v>0</v>
      </c>
      <c r="I979" t="s">
        <v>39</v>
      </c>
      <c r="J979" t="s">
        <v>29</v>
      </c>
      <c r="K979" s="4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5">
        <v>1572713.06</v>
      </c>
      <c r="F980" s="4">
        <v>84824</v>
      </c>
      <c r="G980" s="4">
        <v>196</v>
      </c>
      <c r="H980" s="4">
        <v>0</v>
      </c>
      <c r="I980" t="s">
        <v>28</v>
      </c>
      <c r="J980" t="s">
        <v>29</v>
      </c>
      <c r="K980" s="4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5">
        <v>661801.64</v>
      </c>
      <c r="F981" s="4">
        <v>20068</v>
      </c>
      <c r="G981" s="4">
        <v>86</v>
      </c>
      <c r="H981" s="4">
        <v>0</v>
      </c>
      <c r="I981" t="s">
        <v>28</v>
      </c>
      <c r="J981" t="s">
        <v>17</v>
      </c>
      <c r="K981" s="4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 s="4">
        <v>0</v>
      </c>
      <c r="G982" s="4">
        <v>125</v>
      </c>
      <c r="H982" s="4">
        <v>0</v>
      </c>
      <c r="I982" t="s">
        <v>28</v>
      </c>
      <c r="J982" t="s">
        <v>29</v>
      </c>
      <c r="K982" s="4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5">
        <v>1016936.98</v>
      </c>
      <c r="F983" s="4">
        <v>0</v>
      </c>
      <c r="G983" s="4">
        <v>135</v>
      </c>
      <c r="H983" s="4">
        <v>0</v>
      </c>
      <c r="I983" t="s">
        <v>16</v>
      </c>
      <c r="J983" t="s">
        <v>78</v>
      </c>
      <c r="K983" s="4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5">
        <v>832307.4</v>
      </c>
      <c r="F984" s="4">
        <v>97245</v>
      </c>
      <c r="G984" s="4">
        <v>70</v>
      </c>
      <c r="H984" s="4">
        <v>0</v>
      </c>
      <c r="I984" t="s">
        <v>16</v>
      </c>
      <c r="J984" t="s">
        <v>17</v>
      </c>
      <c r="K984" s="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5">
        <v>241776</v>
      </c>
      <c r="F985" s="4">
        <v>51808</v>
      </c>
      <c r="G985" s="4">
        <v>61</v>
      </c>
      <c r="H985" s="4">
        <v>36526</v>
      </c>
      <c r="I985" t="s">
        <v>16</v>
      </c>
      <c r="J985" t="s">
        <v>17</v>
      </c>
      <c r="K985" s="4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5">
        <v>804487.24</v>
      </c>
      <c r="F986" s="4">
        <v>71391</v>
      </c>
      <c r="G986" s="4">
        <v>67</v>
      </c>
      <c r="H986" s="4">
        <v>0</v>
      </c>
      <c r="I986" t="s">
        <v>16</v>
      </c>
      <c r="J986" t="s">
        <v>17</v>
      </c>
      <c r="K986" s="4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 s="4">
        <v>0</v>
      </c>
      <c r="G987" s="4">
        <v>73</v>
      </c>
      <c r="H987" s="4">
        <v>0</v>
      </c>
      <c r="I987" t="s">
        <v>16</v>
      </c>
      <c r="J987" t="s">
        <v>24</v>
      </c>
      <c r="K987" s="4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5">
        <v>694752.4</v>
      </c>
      <c r="F988" s="4">
        <v>0</v>
      </c>
      <c r="G988" s="4">
        <v>100</v>
      </c>
      <c r="H988" s="4">
        <v>0</v>
      </c>
      <c r="I988" t="s">
        <v>16</v>
      </c>
      <c r="J988" t="s">
        <v>29</v>
      </c>
      <c r="K988" s="4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5">
        <v>584741.52</v>
      </c>
      <c r="F989" s="4">
        <v>23496</v>
      </c>
      <c r="G989" s="4">
        <v>77</v>
      </c>
      <c r="H989" s="4">
        <v>0</v>
      </c>
      <c r="I989" t="s">
        <v>39</v>
      </c>
      <c r="J989" t="s">
        <v>17</v>
      </c>
      <c r="K989" s="4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5"/>
      <c r="F990" s="4">
        <v>55561</v>
      </c>
      <c r="G990" s="4">
        <v>63</v>
      </c>
      <c r="H990" s="4">
        <v>0</v>
      </c>
      <c r="I990" t="s">
        <v>16</v>
      </c>
      <c r="J990" t="s">
        <v>17</v>
      </c>
      <c r="K990" s="4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5">
        <v>472478.61</v>
      </c>
      <c r="F991" s="4">
        <v>23986</v>
      </c>
      <c r="G991" s="4">
        <v>119</v>
      </c>
      <c r="H991" s="4">
        <v>0</v>
      </c>
      <c r="I991" t="s">
        <v>28</v>
      </c>
      <c r="J991" t="s">
        <v>29</v>
      </c>
      <c r="K991" s="4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5">
        <v>279022.8</v>
      </c>
      <c r="F992" s="4">
        <v>22974</v>
      </c>
      <c r="G992" s="4">
        <v>71</v>
      </c>
      <c r="H992" s="4">
        <v>0</v>
      </c>
      <c r="I992" t="s">
        <v>16</v>
      </c>
      <c r="J992" t="s">
        <v>17</v>
      </c>
      <c r="K992" s="4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5">
        <v>2153133.2799999998</v>
      </c>
      <c r="F993" s="4">
        <v>0</v>
      </c>
      <c r="G993" s="4">
        <v>101</v>
      </c>
      <c r="H993" s="4">
        <v>0</v>
      </c>
      <c r="I993" t="s">
        <v>16</v>
      </c>
      <c r="J993" t="s">
        <v>17</v>
      </c>
      <c r="K993" s="4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5">
        <v>1262283.27</v>
      </c>
      <c r="F994" s="4">
        <v>61844</v>
      </c>
      <c r="G994" s="4">
        <v>106</v>
      </c>
      <c r="H994" s="4">
        <v>0</v>
      </c>
      <c r="I994" t="s">
        <v>16</v>
      </c>
      <c r="J994" t="s">
        <v>78</v>
      </c>
      <c r="K994" s="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5">
        <v>2017196.15</v>
      </c>
      <c r="F995" s="4">
        <v>24804</v>
      </c>
      <c r="G995" s="4">
        <v>73</v>
      </c>
      <c r="H995" s="4">
        <v>0</v>
      </c>
      <c r="I995" t="s">
        <v>16</v>
      </c>
      <c r="J995" t="s">
        <v>24</v>
      </c>
      <c r="K995" s="4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5">
        <v>1646436.59</v>
      </c>
      <c r="F996" s="4">
        <v>27760</v>
      </c>
      <c r="G996" s="4">
        <v>104</v>
      </c>
      <c r="H996" s="4">
        <v>0</v>
      </c>
      <c r="I996" t="s">
        <v>16</v>
      </c>
      <c r="J996" t="s">
        <v>29</v>
      </c>
      <c r="K996" s="4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5">
        <v>559538.99</v>
      </c>
      <c r="F997" s="4">
        <v>74454</v>
      </c>
      <c r="G997" s="4">
        <v>71</v>
      </c>
      <c r="H997" s="4">
        <v>0</v>
      </c>
      <c r="I997" t="s">
        <v>16</v>
      </c>
      <c r="J997" t="s">
        <v>17</v>
      </c>
      <c r="K997" s="4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5">
        <v>417068.73</v>
      </c>
      <c r="F998" s="4">
        <v>29462</v>
      </c>
      <c r="G998" s="4">
        <v>107</v>
      </c>
      <c r="H998" s="4">
        <v>36526</v>
      </c>
      <c r="I998" t="s">
        <v>16</v>
      </c>
      <c r="J998" t="s">
        <v>29</v>
      </c>
      <c r="K998" s="4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5">
        <v>266544.71000000002</v>
      </c>
      <c r="F999" s="4">
        <v>52266</v>
      </c>
      <c r="G999" s="4">
        <v>68</v>
      </c>
      <c r="H999" s="4">
        <v>0</v>
      </c>
      <c r="I999" t="s">
        <v>28</v>
      </c>
      <c r="J999" t="s">
        <v>24</v>
      </c>
      <c r="K999" s="4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5">
        <v>709891.41</v>
      </c>
      <c r="F1000" s="4">
        <v>0</v>
      </c>
      <c r="G1000" s="4">
        <v>70</v>
      </c>
      <c r="H1000" s="4">
        <v>0</v>
      </c>
      <c r="I1000" t="s">
        <v>16</v>
      </c>
      <c r="J1000" t="s">
        <v>24</v>
      </c>
      <c r="K1000" s="4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 s="4">
        <v>23599</v>
      </c>
      <c r="G1001" s="4">
        <v>103</v>
      </c>
      <c r="H1001" s="4">
        <v>0</v>
      </c>
      <c r="I1001" t="s">
        <v>28</v>
      </c>
      <c r="J1001" t="s">
        <v>29</v>
      </c>
      <c r="K1001" s="4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5">
        <v>552821.28</v>
      </c>
      <c r="F1002" s="4">
        <v>36088</v>
      </c>
      <c r="G1002" s="4">
        <v>72</v>
      </c>
      <c r="H1002" s="4">
        <v>0</v>
      </c>
      <c r="I1002" t="s">
        <v>16</v>
      </c>
      <c r="J1002" t="s">
        <v>17</v>
      </c>
      <c r="K1002" s="4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5">
        <v>833899.58</v>
      </c>
      <c r="F1003" s="4">
        <v>70534</v>
      </c>
      <c r="G1003" s="4">
        <v>104</v>
      </c>
      <c r="H1003" s="4">
        <v>0</v>
      </c>
      <c r="I1003" t="s">
        <v>16</v>
      </c>
      <c r="J1003" t="s">
        <v>17</v>
      </c>
      <c r="K1003" s="4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 s="4">
        <v>27398</v>
      </c>
      <c r="G1004" s="4">
        <v>125</v>
      </c>
      <c r="H1004" s="4">
        <v>36526</v>
      </c>
      <c r="I1004" t="s">
        <v>16</v>
      </c>
      <c r="J1004" t="s">
        <v>29</v>
      </c>
      <c r="K1004" s="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5">
        <v>544855.52</v>
      </c>
      <c r="F1005" s="4">
        <v>85296</v>
      </c>
      <c r="G1005" s="4">
        <v>68</v>
      </c>
      <c r="H1005" s="4">
        <v>0</v>
      </c>
      <c r="I1005" t="s">
        <v>16</v>
      </c>
      <c r="J1005" t="s">
        <v>17</v>
      </c>
      <c r="K1005" s="4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5">
        <v>1080806.6000000001</v>
      </c>
      <c r="F1006" s="4">
        <v>31063</v>
      </c>
      <c r="G1006" s="4">
        <v>92</v>
      </c>
      <c r="H1006" s="4">
        <v>0</v>
      </c>
      <c r="I1006" t="s">
        <v>16</v>
      </c>
      <c r="J1006" t="s">
        <v>17</v>
      </c>
      <c r="K1006" s="4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5">
        <v>618509.65</v>
      </c>
      <c r="F1007" s="4">
        <v>0</v>
      </c>
      <c r="G1007" s="4">
        <v>92</v>
      </c>
      <c r="H1007" s="4">
        <v>0</v>
      </c>
      <c r="I1007" t="s">
        <v>16</v>
      </c>
      <c r="J1007" t="s">
        <v>24</v>
      </c>
      <c r="K1007" s="4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 s="4">
        <v>52367</v>
      </c>
      <c r="G1008" s="4">
        <v>81</v>
      </c>
      <c r="H1008" s="4">
        <v>0</v>
      </c>
      <c r="I1008" t="s">
        <v>16</v>
      </c>
      <c r="J1008" t="s">
        <v>17</v>
      </c>
      <c r="K1008" s="4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5">
        <v>548010.41</v>
      </c>
      <c r="F1009" s="4">
        <v>58651</v>
      </c>
      <c r="G1009" s="4">
        <v>71</v>
      </c>
      <c r="H1009" s="4">
        <v>0</v>
      </c>
      <c r="I1009" t="s">
        <v>16</v>
      </c>
      <c r="J1009" t="s">
        <v>17</v>
      </c>
      <c r="K1009" s="4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5">
        <v>2298615.39</v>
      </c>
      <c r="F1010" s="4">
        <v>84831</v>
      </c>
      <c r="G1010" s="4">
        <v>192</v>
      </c>
      <c r="H1010" s="4">
        <v>0</v>
      </c>
      <c r="I1010" t="s">
        <v>39</v>
      </c>
      <c r="J1010" t="s">
        <v>78</v>
      </c>
      <c r="K1010" s="4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5">
        <v>1310792.5900000001</v>
      </c>
      <c r="F1011" s="4">
        <v>49088</v>
      </c>
      <c r="G1011" s="4">
        <v>114</v>
      </c>
      <c r="H1011" s="4">
        <v>36526</v>
      </c>
      <c r="I1011" t="s">
        <v>28</v>
      </c>
      <c r="J1011" t="s">
        <v>29</v>
      </c>
      <c r="K1011" s="4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5">
        <v>746292.63</v>
      </c>
      <c r="F1012" s="4">
        <v>70263</v>
      </c>
      <c r="G1012" s="4">
        <v>93</v>
      </c>
      <c r="H1012" s="4">
        <v>0</v>
      </c>
      <c r="I1012" t="s">
        <v>28</v>
      </c>
      <c r="J1012" t="s">
        <v>24</v>
      </c>
      <c r="K1012" s="4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5">
        <v>1146399.1000000001</v>
      </c>
      <c r="F1013" s="4">
        <v>45354</v>
      </c>
      <c r="G1013" s="4">
        <v>285</v>
      </c>
      <c r="H1013" s="4">
        <v>0</v>
      </c>
      <c r="I1013" t="s">
        <v>16</v>
      </c>
      <c r="J1013" t="s">
        <v>65</v>
      </c>
      <c r="K1013" s="4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5">
        <v>723613.25</v>
      </c>
      <c r="F1014" s="4">
        <v>0</v>
      </c>
      <c r="G1014" s="4">
        <v>63</v>
      </c>
      <c r="H1014" s="4">
        <v>0</v>
      </c>
      <c r="I1014" t="s">
        <v>16</v>
      </c>
      <c r="J1014" t="s">
        <v>17</v>
      </c>
      <c r="K1014" s="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5">
        <v>623268.79</v>
      </c>
      <c r="F1015" s="4">
        <v>28334</v>
      </c>
      <c r="G1015" s="4">
        <v>83</v>
      </c>
      <c r="H1015" s="4">
        <v>0</v>
      </c>
      <c r="I1015" t="s">
        <v>39</v>
      </c>
      <c r="J1015" t="s">
        <v>17</v>
      </c>
      <c r="K1015" s="4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5">
        <v>2839332.99</v>
      </c>
      <c r="F1016" s="4">
        <v>38772</v>
      </c>
      <c r="G1016" s="4">
        <v>90</v>
      </c>
      <c r="H1016" s="4">
        <v>0</v>
      </c>
      <c r="I1016" t="s">
        <v>16</v>
      </c>
      <c r="J1016" t="s">
        <v>17</v>
      </c>
      <c r="K1016" s="4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5">
        <v>374675.16</v>
      </c>
      <c r="F1017" s="4">
        <v>41479</v>
      </c>
      <c r="G1017" s="4">
        <v>94</v>
      </c>
      <c r="H1017" s="4">
        <v>36526</v>
      </c>
      <c r="I1017" t="s">
        <v>16</v>
      </c>
      <c r="J1017" t="s">
        <v>24</v>
      </c>
      <c r="K1017" s="4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5">
        <v>2156933.73</v>
      </c>
      <c r="F1018" s="4">
        <v>23909</v>
      </c>
      <c r="G1018" s="4">
        <v>119</v>
      </c>
      <c r="H1018" s="4">
        <v>0</v>
      </c>
      <c r="I1018" t="s">
        <v>16</v>
      </c>
      <c r="J1018" t="s">
        <v>29</v>
      </c>
      <c r="K1018" s="4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 s="4">
        <v>48328</v>
      </c>
      <c r="G1019" s="4">
        <v>63</v>
      </c>
      <c r="H1019" s="4">
        <v>0</v>
      </c>
      <c r="I1019" t="s">
        <v>16</v>
      </c>
      <c r="J1019" t="s">
        <v>24</v>
      </c>
      <c r="K1019" s="4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 s="4">
        <v>86689</v>
      </c>
      <c r="G1020" s="4">
        <v>85</v>
      </c>
      <c r="H1020" s="4">
        <v>0</v>
      </c>
      <c r="I1020" t="s">
        <v>28</v>
      </c>
      <c r="J1020" t="s">
        <v>24</v>
      </c>
      <c r="K1020" s="4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5">
        <v>386477.68</v>
      </c>
      <c r="F1021" s="4">
        <v>24204</v>
      </c>
      <c r="G1021" s="4">
        <v>99</v>
      </c>
      <c r="H1021" s="4">
        <v>36526</v>
      </c>
      <c r="I1021" t="s">
        <v>16</v>
      </c>
      <c r="J1021" t="s">
        <v>17</v>
      </c>
      <c r="K1021" s="4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 s="4">
        <v>25943</v>
      </c>
      <c r="G1022" s="4">
        <v>110</v>
      </c>
      <c r="H1022" s="4">
        <v>0</v>
      </c>
      <c r="I1022" t="s">
        <v>28</v>
      </c>
      <c r="J1022" t="s">
        <v>24</v>
      </c>
      <c r="K1022" s="4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 s="4">
        <v>0</v>
      </c>
      <c r="G1023" s="4">
        <v>73</v>
      </c>
      <c r="H1023" s="4">
        <v>0</v>
      </c>
      <c r="I1023" t="s">
        <v>16</v>
      </c>
      <c r="J1023" t="s">
        <v>17</v>
      </c>
      <c r="K1023" s="4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 s="4">
        <v>62375</v>
      </c>
      <c r="G1024" s="4">
        <v>92</v>
      </c>
      <c r="H1024" s="4">
        <v>0</v>
      </c>
      <c r="I1024" t="s">
        <v>16</v>
      </c>
      <c r="J1024" t="s">
        <v>24</v>
      </c>
      <c r="K1024" s="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5">
        <v>783568.35</v>
      </c>
      <c r="F1025" s="4">
        <v>0</v>
      </c>
      <c r="G1025" s="4">
        <v>71</v>
      </c>
      <c r="H1025" s="4">
        <v>0</v>
      </c>
      <c r="I1025" t="s">
        <v>28</v>
      </c>
      <c r="J1025" t="s">
        <v>17</v>
      </c>
      <c r="K1025" s="4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5">
        <v>1456726.84</v>
      </c>
      <c r="F1026" s="4">
        <v>0</v>
      </c>
      <c r="G1026" s="4">
        <v>148</v>
      </c>
      <c r="H1026" s="4">
        <v>0</v>
      </c>
      <c r="I1026" t="s">
        <v>16</v>
      </c>
      <c r="J1026" t="s">
        <v>29</v>
      </c>
      <c r="K1026" s="4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5">
        <v>1017133.9</v>
      </c>
      <c r="F1027" s="4">
        <v>70200</v>
      </c>
      <c r="G1027" s="4">
        <v>65</v>
      </c>
      <c r="H1027" s="4">
        <v>0</v>
      </c>
      <c r="I1027" t="s">
        <v>28</v>
      </c>
      <c r="J1027" t="s">
        <v>17</v>
      </c>
      <c r="K1027" s="4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5">
        <v>413577.52</v>
      </c>
      <c r="F1028" s="4">
        <v>0</v>
      </c>
      <c r="G1028" s="4">
        <v>112</v>
      </c>
      <c r="H1028" s="4">
        <v>0</v>
      </c>
      <c r="I1028" t="s">
        <v>39</v>
      </c>
      <c r="J1028" t="s">
        <v>17</v>
      </c>
      <c r="K1028" s="4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5">
        <v>551149.11</v>
      </c>
      <c r="F1029" s="4">
        <v>79027</v>
      </c>
      <c r="G1029" s="4">
        <v>70</v>
      </c>
      <c r="H1029" s="4">
        <v>0</v>
      </c>
      <c r="I1029" t="s">
        <v>28</v>
      </c>
      <c r="J1029" t="s">
        <v>17</v>
      </c>
      <c r="K1029" s="4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5">
        <v>1131424.3899999999</v>
      </c>
      <c r="F1030" s="4">
        <v>62935</v>
      </c>
      <c r="G1030" s="4">
        <v>141</v>
      </c>
      <c r="H1030" s="4">
        <v>0</v>
      </c>
      <c r="I1030" t="s">
        <v>16</v>
      </c>
      <c r="J1030" t="s">
        <v>78</v>
      </c>
      <c r="K1030" s="4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5">
        <v>541461.73</v>
      </c>
      <c r="F1031" s="4">
        <v>26893</v>
      </c>
      <c r="G1031" s="4">
        <v>68</v>
      </c>
      <c r="H1031" s="4">
        <v>0</v>
      </c>
      <c r="I1031" t="s">
        <v>16</v>
      </c>
      <c r="J1031" t="s">
        <v>17</v>
      </c>
      <c r="K1031" s="4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5">
        <v>742159.35</v>
      </c>
      <c r="F1032" s="4">
        <v>47406</v>
      </c>
      <c r="G1032" s="4">
        <v>94</v>
      </c>
      <c r="H1032" s="4">
        <v>36526</v>
      </c>
      <c r="I1032" t="s">
        <v>16</v>
      </c>
      <c r="J1032" t="s">
        <v>17</v>
      </c>
      <c r="K1032" s="4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5">
        <v>445811.34</v>
      </c>
      <c r="F1033" s="4">
        <v>17622</v>
      </c>
      <c r="G1033" s="4">
        <v>65</v>
      </c>
      <c r="H1033" s="4">
        <v>36526</v>
      </c>
      <c r="I1033" t="s">
        <v>16</v>
      </c>
      <c r="J1033" t="s">
        <v>17</v>
      </c>
      <c r="K1033" s="4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5">
        <v>1447612.49</v>
      </c>
      <c r="F1034" s="4">
        <v>27572</v>
      </c>
      <c r="G1034" s="4">
        <v>124</v>
      </c>
      <c r="H1034" s="4">
        <v>0</v>
      </c>
      <c r="I1034" t="s">
        <v>28</v>
      </c>
      <c r="J1034" t="s">
        <v>29</v>
      </c>
      <c r="K1034" s="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5">
        <v>493688.84</v>
      </c>
      <c r="F1035" s="4">
        <v>0</v>
      </c>
      <c r="G1035" s="4">
        <v>72</v>
      </c>
      <c r="H1035" s="4">
        <v>36557</v>
      </c>
      <c r="I1035" t="s">
        <v>16</v>
      </c>
      <c r="J1035" t="s">
        <v>24</v>
      </c>
      <c r="K1035" s="4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5">
        <v>452527.65</v>
      </c>
      <c r="F1036" s="4">
        <v>32802</v>
      </c>
      <c r="G1036" s="4">
        <v>114</v>
      </c>
      <c r="H1036" s="4">
        <v>0</v>
      </c>
      <c r="I1036" t="s">
        <v>16</v>
      </c>
      <c r="J1036" t="s">
        <v>29</v>
      </c>
      <c r="K1036" s="4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5">
        <v>558176.13</v>
      </c>
      <c r="F1037" s="4">
        <v>62739</v>
      </c>
      <c r="G1037" s="4">
        <v>70</v>
      </c>
      <c r="H1037" s="4">
        <v>0</v>
      </c>
      <c r="I1037" t="s">
        <v>16</v>
      </c>
      <c r="J1037" t="s">
        <v>24</v>
      </c>
      <c r="K1037" s="4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5">
        <v>1413434.74</v>
      </c>
      <c r="F1038" s="4">
        <v>90844</v>
      </c>
      <c r="G1038" s="4">
        <v>118</v>
      </c>
      <c r="H1038" s="4">
        <v>0</v>
      </c>
      <c r="I1038" t="s">
        <v>16</v>
      </c>
      <c r="J1038" t="s">
        <v>29</v>
      </c>
      <c r="K1038" s="4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5">
        <v>2472318.31</v>
      </c>
      <c r="F1039" s="4">
        <v>44685</v>
      </c>
      <c r="G1039" s="4">
        <v>69</v>
      </c>
      <c r="H1039" s="4">
        <v>0</v>
      </c>
      <c r="I1039" t="s">
        <v>16</v>
      </c>
      <c r="J1039" t="s">
        <v>17</v>
      </c>
      <c r="K1039" s="4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5">
        <v>283806.78000000003</v>
      </c>
      <c r="F1040" s="4">
        <v>0</v>
      </c>
      <c r="G1040" s="4">
        <v>80</v>
      </c>
      <c r="H1040" s="4">
        <v>0</v>
      </c>
      <c r="I1040" t="s">
        <v>16</v>
      </c>
      <c r="J1040" t="s">
        <v>17</v>
      </c>
      <c r="K1040" s="4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5">
        <v>384848.36</v>
      </c>
      <c r="F1041" s="4">
        <v>42589</v>
      </c>
      <c r="G1041" s="4">
        <v>98</v>
      </c>
      <c r="H1041" s="4">
        <v>0</v>
      </c>
      <c r="I1041" t="s">
        <v>28</v>
      </c>
      <c r="J1041" t="s">
        <v>17</v>
      </c>
      <c r="K1041" s="4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5">
        <v>1950447.39</v>
      </c>
      <c r="F1042" s="4">
        <v>0</v>
      </c>
      <c r="G1042" s="4">
        <v>72</v>
      </c>
      <c r="H1042" s="4">
        <v>0</v>
      </c>
      <c r="I1042" t="s">
        <v>16</v>
      </c>
      <c r="J1042" t="s">
        <v>17</v>
      </c>
      <c r="K1042" s="4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5">
        <v>248004.59</v>
      </c>
      <c r="F1043" s="4">
        <v>93383</v>
      </c>
      <c r="G1043" s="4">
        <v>62</v>
      </c>
      <c r="H1043" s="4">
        <v>0</v>
      </c>
      <c r="I1043" t="s">
        <v>28</v>
      </c>
      <c r="J1043" t="s">
        <v>24</v>
      </c>
      <c r="K1043" s="4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5">
        <v>436137.29</v>
      </c>
      <c r="F1044" s="4">
        <v>79583</v>
      </c>
      <c r="G1044" s="4">
        <v>109</v>
      </c>
      <c r="H1044" s="4">
        <v>36557</v>
      </c>
      <c r="I1044" t="s">
        <v>16</v>
      </c>
      <c r="J1044" t="s">
        <v>17</v>
      </c>
      <c r="K1044" s="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5">
        <v>252907.75</v>
      </c>
      <c r="F1045" s="4">
        <v>89129</v>
      </c>
      <c r="G1045" s="4">
        <v>64</v>
      </c>
      <c r="H1045" s="4">
        <v>0</v>
      </c>
      <c r="I1045" t="s">
        <v>16</v>
      </c>
      <c r="J1045" t="s">
        <v>17</v>
      </c>
      <c r="K1045" s="4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5">
        <v>250444.48</v>
      </c>
      <c r="F1046" s="4">
        <v>0</v>
      </c>
      <c r="G1046" s="4">
        <v>69</v>
      </c>
      <c r="H1046" s="4">
        <v>0</v>
      </c>
      <c r="I1046" t="s">
        <v>16</v>
      </c>
      <c r="J1046" t="s">
        <v>17</v>
      </c>
      <c r="K1046" s="4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5">
        <v>864970.06</v>
      </c>
      <c r="F1047" s="4">
        <v>94389</v>
      </c>
      <c r="G1047" s="4">
        <v>107</v>
      </c>
      <c r="H1047" s="4">
        <v>0</v>
      </c>
      <c r="I1047" t="s">
        <v>28</v>
      </c>
      <c r="J1047" t="s">
        <v>29</v>
      </c>
      <c r="K1047" s="4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5">
        <v>1366835.53</v>
      </c>
      <c r="F1048" s="4">
        <v>0</v>
      </c>
      <c r="G1048" s="4">
        <v>197</v>
      </c>
      <c r="H1048" s="4">
        <v>0</v>
      </c>
      <c r="I1048" t="s">
        <v>16</v>
      </c>
      <c r="J1048" t="s">
        <v>29</v>
      </c>
      <c r="K1048" s="4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5">
        <v>2063508.46</v>
      </c>
      <c r="F1049" s="4">
        <v>84106</v>
      </c>
      <c r="G1049" s="4">
        <v>64</v>
      </c>
      <c r="H1049" s="4">
        <v>0</v>
      </c>
      <c r="I1049" t="s">
        <v>16</v>
      </c>
      <c r="J1049" t="s">
        <v>24</v>
      </c>
      <c r="K1049" s="4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5">
        <v>251753.36</v>
      </c>
      <c r="F1050" s="4">
        <v>0</v>
      </c>
      <c r="G1050" s="4">
        <v>69</v>
      </c>
      <c r="H1050" s="4">
        <v>0</v>
      </c>
      <c r="I1050" t="s">
        <v>16</v>
      </c>
      <c r="J1050" t="s">
        <v>17</v>
      </c>
      <c r="K1050" s="4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5">
        <v>532667.77</v>
      </c>
      <c r="F1051" s="4">
        <v>76717</v>
      </c>
      <c r="G1051" s="4">
        <v>66</v>
      </c>
      <c r="H1051" s="4">
        <v>0</v>
      </c>
      <c r="I1051" t="s">
        <v>16</v>
      </c>
      <c r="J1051" t="s">
        <v>24</v>
      </c>
      <c r="K1051" s="4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5">
        <v>260027.21</v>
      </c>
      <c r="F1052" s="4">
        <v>51978</v>
      </c>
      <c r="G1052" s="4">
        <v>66</v>
      </c>
      <c r="H1052" s="4">
        <v>0</v>
      </c>
      <c r="I1052" t="s">
        <v>28</v>
      </c>
      <c r="J1052" t="s">
        <v>17</v>
      </c>
      <c r="K1052" s="4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5">
        <v>853479.28</v>
      </c>
      <c r="F1053" s="4">
        <v>47325</v>
      </c>
      <c r="G1053" s="4">
        <v>107</v>
      </c>
      <c r="H1053" s="4">
        <v>0</v>
      </c>
      <c r="I1053" t="s">
        <v>16</v>
      </c>
      <c r="J1053" t="s">
        <v>29</v>
      </c>
      <c r="K1053" s="4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 s="4">
        <v>86721</v>
      </c>
      <c r="G1054" s="4">
        <v>111</v>
      </c>
      <c r="H1054" s="4">
        <v>0</v>
      </c>
      <c r="I1054" t="s">
        <v>28</v>
      </c>
      <c r="J1054" t="s">
        <v>29</v>
      </c>
      <c r="K1054" s="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5">
        <v>224844.96</v>
      </c>
      <c r="F1055" s="4">
        <v>24910</v>
      </c>
      <c r="G1055" s="4">
        <v>63</v>
      </c>
      <c r="H1055" s="4">
        <v>36526</v>
      </c>
      <c r="I1055" t="s">
        <v>16</v>
      </c>
      <c r="J1055" t="s">
        <v>17</v>
      </c>
      <c r="K1055" s="4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5">
        <v>1230276.24</v>
      </c>
      <c r="F1056" s="4">
        <v>43817</v>
      </c>
      <c r="G1056" s="4">
        <v>62</v>
      </c>
      <c r="H1056" s="4">
        <v>36526</v>
      </c>
      <c r="I1056" t="s">
        <v>16</v>
      </c>
      <c r="J1056" t="s">
        <v>17</v>
      </c>
      <c r="K1056" s="4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 s="4">
        <v>0</v>
      </c>
      <c r="G1057" s="4">
        <v>73</v>
      </c>
      <c r="H1057" s="4">
        <v>36557</v>
      </c>
      <c r="I1057" t="s">
        <v>16</v>
      </c>
      <c r="J1057" t="s">
        <v>17</v>
      </c>
      <c r="K1057" s="4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5">
        <v>253070.51</v>
      </c>
      <c r="F1058" s="4">
        <v>89451</v>
      </c>
      <c r="G1058" s="4">
        <v>63</v>
      </c>
      <c r="H1058" s="4">
        <v>0</v>
      </c>
      <c r="I1058" t="s">
        <v>28</v>
      </c>
      <c r="J1058" t="s">
        <v>17</v>
      </c>
      <c r="K1058" s="4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 s="4">
        <v>59537</v>
      </c>
      <c r="G1059" s="4">
        <v>66</v>
      </c>
      <c r="H1059" s="4">
        <v>0</v>
      </c>
      <c r="I1059" t="s">
        <v>16</v>
      </c>
      <c r="J1059" t="s">
        <v>24</v>
      </c>
      <c r="K1059" s="4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 s="4">
        <v>0</v>
      </c>
      <c r="G1060" s="4">
        <v>199</v>
      </c>
      <c r="H1060" s="4">
        <v>0</v>
      </c>
      <c r="I1060" t="s">
        <v>16</v>
      </c>
      <c r="J1060" t="s">
        <v>65</v>
      </c>
      <c r="K1060" s="4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 s="4">
        <v>54193</v>
      </c>
      <c r="G1061" s="4">
        <v>117</v>
      </c>
      <c r="H1061" s="4">
        <v>0</v>
      </c>
      <c r="I1061" t="s">
        <v>28</v>
      </c>
      <c r="J1061" t="s">
        <v>29</v>
      </c>
      <c r="K1061" s="4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 s="4">
        <v>86946</v>
      </c>
      <c r="G1062" s="4">
        <v>118</v>
      </c>
      <c r="H1062" s="4">
        <v>0</v>
      </c>
      <c r="I1062" t="s">
        <v>16</v>
      </c>
      <c r="J1062" t="s">
        <v>17</v>
      </c>
      <c r="K1062" s="4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5">
        <v>1050677.17</v>
      </c>
      <c r="F1063" s="4">
        <v>0</v>
      </c>
      <c r="G1063" s="4">
        <v>92</v>
      </c>
      <c r="H1063" s="4">
        <v>0</v>
      </c>
      <c r="I1063" t="s">
        <v>16</v>
      </c>
      <c r="J1063" t="s">
        <v>17</v>
      </c>
      <c r="K1063" s="4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5">
        <v>421391.86</v>
      </c>
      <c r="F1064" s="4">
        <v>12160</v>
      </c>
      <c r="G1064" s="4">
        <v>109</v>
      </c>
      <c r="H1064" s="4">
        <v>0</v>
      </c>
      <c r="I1064" t="s">
        <v>16</v>
      </c>
      <c r="J1064" t="s">
        <v>17</v>
      </c>
      <c r="K1064" s="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 s="4">
        <v>33701</v>
      </c>
      <c r="G1065" s="4">
        <v>63</v>
      </c>
      <c r="H1065" s="4">
        <v>0</v>
      </c>
      <c r="I1065" t="s">
        <v>16</v>
      </c>
      <c r="J1065" t="s">
        <v>17</v>
      </c>
      <c r="K1065" s="4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5">
        <v>544142.01</v>
      </c>
      <c r="F1066" s="4">
        <v>85702</v>
      </c>
      <c r="G1066" s="4">
        <v>67</v>
      </c>
      <c r="H1066" s="4">
        <v>0</v>
      </c>
      <c r="I1066" t="s">
        <v>16</v>
      </c>
      <c r="J1066" t="s">
        <v>24</v>
      </c>
      <c r="K1066" s="4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5">
        <v>284226.69</v>
      </c>
      <c r="F1067" s="4">
        <v>69417</v>
      </c>
      <c r="G1067" s="4">
        <v>73</v>
      </c>
      <c r="H1067" s="4">
        <v>36526</v>
      </c>
      <c r="I1067" t="s">
        <v>16</v>
      </c>
      <c r="J1067" t="s">
        <v>17</v>
      </c>
      <c r="K1067" s="4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5">
        <v>305955.03000000003</v>
      </c>
      <c r="F1068" s="4">
        <v>38644</v>
      </c>
      <c r="G1068" s="4">
        <v>78</v>
      </c>
      <c r="H1068" s="4">
        <v>36526</v>
      </c>
      <c r="I1068" t="s">
        <v>16</v>
      </c>
      <c r="J1068" t="s">
        <v>17</v>
      </c>
      <c r="K1068" s="4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5">
        <v>2031499.76</v>
      </c>
      <c r="F1069" s="4">
        <v>63209</v>
      </c>
      <c r="G1069" s="4">
        <v>102</v>
      </c>
      <c r="H1069" s="4">
        <v>36557</v>
      </c>
      <c r="I1069" t="s">
        <v>16</v>
      </c>
      <c r="J1069" t="s">
        <v>29</v>
      </c>
      <c r="K1069" s="4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5">
        <v>323912.46999999997</v>
      </c>
      <c r="F1070" s="4">
        <v>16061</v>
      </c>
      <c r="G1070" s="4">
        <v>88</v>
      </c>
      <c r="H1070" s="4">
        <v>0</v>
      </c>
      <c r="I1070" t="s">
        <v>16</v>
      </c>
      <c r="J1070" t="s">
        <v>17</v>
      </c>
      <c r="K1070" s="4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5">
        <v>462680.11</v>
      </c>
      <c r="F1071" s="4">
        <v>79487</v>
      </c>
      <c r="G1071" s="4">
        <v>114</v>
      </c>
      <c r="H1071" s="4">
        <v>0</v>
      </c>
      <c r="I1071" t="s">
        <v>39</v>
      </c>
      <c r="J1071" t="s">
        <v>29</v>
      </c>
      <c r="K1071" s="4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5">
        <v>899704.02</v>
      </c>
      <c r="F1072" s="4">
        <v>54230</v>
      </c>
      <c r="G1072" s="4">
        <v>112</v>
      </c>
      <c r="H1072" s="4">
        <v>0</v>
      </c>
      <c r="I1072" t="s">
        <v>16</v>
      </c>
      <c r="J1072" t="s">
        <v>24</v>
      </c>
      <c r="K1072" s="4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topLeftCell="D1" zoomScale="80" zoomScaleNormal="80" workbookViewId="0">
      <selection activeCell="M2" sqref="M2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4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9193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IF(I2="Personal Auto","Personal",IF(I2="Corporate Auto","Corporate",IF(I2="Special Auto","Special",I2)))</f>
        <v>Personal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0">IF(I3="Personal Auto","Personal",IF(I3="Corporate Auto","Corporate",IF(I3="Special Auto","Special",I3)))</f>
        <v>Personal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0"/>
        <v>Personal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0"/>
        <v>Corporate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0"/>
        <v>Personal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0"/>
        <v>Personal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0"/>
        <v>Corporate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0"/>
        <v>Corporate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0"/>
        <v>Corporate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0"/>
        <v>Special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0"/>
        <v>Personal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0"/>
        <v>Personal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0"/>
        <v>Corporate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0"/>
        <v>Corporate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0"/>
        <v>Corporate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0"/>
        <v>Corporate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0"/>
        <v>Personal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0"/>
        <v>Personal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0"/>
        <v>Personal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0"/>
        <v>Corporate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0"/>
        <v>Personal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0"/>
        <v>Personal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0"/>
        <v>Personal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0"/>
        <v>Corporate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0"/>
        <v>Corporate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0"/>
        <v>Personal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0"/>
        <v>Personal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0"/>
        <v>Personal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0"/>
        <v>Personal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0"/>
        <v>Personal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0"/>
        <v>Personal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0"/>
        <v>Corporate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0"/>
        <v>Personal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0"/>
        <v>Personal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0"/>
        <v>Corporate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0"/>
        <v>Personal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0"/>
        <v>Personal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0"/>
        <v>Personal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0"/>
        <v>Personal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0"/>
        <v>Personal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0"/>
        <v>Corporate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0"/>
        <v>Corporate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0"/>
        <v>Personal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0"/>
        <v>Personal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0"/>
        <v>Personal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0"/>
        <v>Personal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0"/>
        <v>Personal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0"/>
        <v>Personal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0"/>
        <v>Corporate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0"/>
        <v>Personal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0"/>
        <v>Personal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0"/>
        <v>Corporate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0"/>
        <v>Special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0"/>
        <v>Personal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0"/>
        <v>Personal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0"/>
        <v>Corporate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0"/>
        <v>Special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0"/>
        <v>Personal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0"/>
        <v>Personal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0"/>
        <v>Personal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0"/>
        <v>Personal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0"/>
        <v>Personal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0"/>
        <v>Personal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0"/>
        <v>Personal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0"/>
        <v>Personal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1">IF(I67="Personal Auto","Personal",IF(I67="Corporate Auto","Corporate",IF(I67="Special Auto","Special",I67)))</f>
        <v>Personal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1"/>
        <v>Corporate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1"/>
        <v>Personal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1"/>
        <v>Personal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1"/>
        <v>Personal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1"/>
        <v>Personal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1"/>
        <v>Personal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1"/>
        <v>Personal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1"/>
        <v>Personal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1"/>
        <v>Personal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1"/>
        <v>Personal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1"/>
        <v>Personal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1"/>
        <v>Personal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1"/>
        <v>Personal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1"/>
        <v>Personal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1"/>
        <v>Personal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1"/>
        <v>Personal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1"/>
        <v>Personal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1"/>
        <v>Personal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1"/>
        <v>Personal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1"/>
        <v>Corporate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1"/>
        <v>Personal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1"/>
        <v>Corporate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1"/>
        <v>Personal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1"/>
        <v>Personal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1"/>
        <v>Personal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1"/>
        <v>Personal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1"/>
        <v>Corporate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1"/>
        <v>Corporate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1"/>
        <v>Personal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1"/>
        <v>Personal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1"/>
        <v>Personal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1"/>
        <v>Personal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1"/>
        <v>Personal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1"/>
        <v>Personal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1"/>
        <v>Personal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1"/>
        <v>Personal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1"/>
        <v>Corporate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1"/>
        <v>Personal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1"/>
        <v>Personal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1"/>
        <v>Personal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1"/>
        <v>Personal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1"/>
        <v>Personal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1"/>
        <v>Personal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1"/>
        <v>Corporate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1"/>
        <v>Personal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1"/>
        <v>Personal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1"/>
        <v>Personal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1"/>
        <v>Personal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1"/>
        <v>Personal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1"/>
        <v>Corporate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1"/>
        <v>Personal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1"/>
        <v>Personal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1"/>
        <v>Personal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1"/>
        <v>Corporate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1"/>
        <v>Personal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1"/>
        <v>Personal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1"/>
        <v>Personal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1"/>
        <v>Personal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1"/>
        <v>Personal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1"/>
        <v>Personal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1"/>
        <v>Personal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1"/>
        <v>Special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1"/>
        <v>Personal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2">IF(I131="Personal Auto","Personal",IF(I131="Corporate Auto","Corporate",IF(I131="Special Auto","Special",I131)))</f>
        <v>Personal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2"/>
        <v>Personal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2"/>
        <v>Special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2"/>
        <v>Personal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2"/>
        <v>Personal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2"/>
        <v>Corporate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2"/>
        <v>Personal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2"/>
        <v>Special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2"/>
        <v>Personal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2"/>
        <v>Personal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2"/>
        <v>Special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2"/>
        <v>Personal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2"/>
        <v>Personal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2"/>
        <v>Personal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2"/>
        <v>Personal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2"/>
        <v>Personal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2"/>
        <v>Corporate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2"/>
        <v>Corporate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2"/>
        <v>Corporate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2"/>
        <v>Personal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2"/>
        <v>Corporate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2"/>
        <v>Personal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2"/>
        <v>Personal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2"/>
        <v>Personal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2"/>
        <v>Personal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2"/>
        <v>Personal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2"/>
        <v>Personal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2"/>
        <v>Personal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2"/>
        <v>Personal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2"/>
        <v>Personal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2"/>
        <v>Personal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2"/>
        <v>Corporate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2"/>
        <v>Personal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2"/>
        <v>Personal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2"/>
        <v>Personal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2"/>
        <v>Personal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2"/>
        <v>Personal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2"/>
        <v>Personal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2"/>
        <v>Personal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2"/>
        <v>Personal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2"/>
        <v>Personal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2"/>
        <v>Personal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2"/>
        <v>Personal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2"/>
        <v>Personal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2"/>
        <v>Personal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2"/>
        <v>Personal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2"/>
        <v>Personal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2"/>
        <v>Personal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2"/>
        <v>Personal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2"/>
        <v>Personal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2"/>
        <v>Personal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2"/>
        <v>Personal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2"/>
        <v>Personal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2"/>
        <v>Personal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2"/>
        <v>Personal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2"/>
        <v>Personal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2"/>
        <v>Personal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2"/>
        <v>Corporate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2"/>
        <v>Personal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2"/>
        <v>Personal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2"/>
        <v>Personal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2"/>
        <v>Special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2"/>
        <v>Special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2"/>
        <v>Personal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3">IF(I195="Personal Auto","Personal",IF(I195="Corporate Auto","Corporate",IF(I195="Special Auto","Special",I195)))</f>
        <v>Personal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3"/>
        <v>Personal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3"/>
        <v>Personal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3"/>
        <v>Corporate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3"/>
        <v>Special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3"/>
        <v>Personal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3"/>
        <v>Personal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3"/>
        <v>Personal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3"/>
        <v>Personal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3"/>
        <v>Corporate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3"/>
        <v>Personal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3"/>
        <v>Personal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3"/>
        <v>Personal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3"/>
        <v>Personal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3"/>
        <v>Corporate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3"/>
        <v>Corporate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3"/>
        <v>Personal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3"/>
        <v>Personal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3"/>
        <v>Special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3"/>
        <v>Corporate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3"/>
        <v>Special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3"/>
        <v>Personal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3"/>
        <v>Corporate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3"/>
        <v>Corporate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3"/>
        <v>Special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3"/>
        <v>Personal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3"/>
        <v>Personal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3"/>
        <v>Personal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3"/>
        <v>Personal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3"/>
        <v>Personal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3"/>
        <v>Personal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3"/>
        <v>Personal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3"/>
        <v>Personal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3"/>
        <v>Personal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3"/>
        <v>Corporate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3"/>
        <v>Corporate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3"/>
        <v>Corporate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3"/>
        <v>Corporate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3"/>
        <v>Personal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3"/>
        <v>Personal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3"/>
        <v>Personal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3"/>
        <v>Personal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3"/>
        <v>Personal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3"/>
        <v>Personal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3"/>
        <v>Corporate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3"/>
        <v>Personal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3"/>
        <v>Personal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3"/>
        <v>Corporate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3"/>
        <v>Personal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3"/>
        <v>Corporate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3"/>
        <v>Personal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3"/>
        <v>Personal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3"/>
        <v>Corporate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3"/>
        <v>Personal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3"/>
        <v>Personal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3"/>
        <v>Corporate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3"/>
        <v>Personal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3"/>
        <v>Personal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3"/>
        <v>Personal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3"/>
        <v>Personal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3"/>
        <v>Personal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3"/>
        <v>Personal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3"/>
        <v>Personal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3"/>
        <v>Personal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4">IF(I259="Personal Auto","Personal",IF(I259="Corporate Auto","Corporate",IF(I259="Special Auto","Special",I259)))</f>
        <v>Personal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4"/>
        <v>Personal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4"/>
        <v>Corporate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4"/>
        <v>Personal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4"/>
        <v>Personal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4"/>
        <v>Personal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4"/>
        <v>Personal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4"/>
        <v>Personal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4"/>
        <v>Corporate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4"/>
        <v>Corporate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4"/>
        <v>Personal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4"/>
        <v>Corporate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4"/>
        <v>Corporate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4"/>
        <v>Personal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4"/>
        <v>Personal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4"/>
        <v>Personal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4"/>
        <v>Personal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4"/>
        <v>Personal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4"/>
        <v>Special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4"/>
        <v>Corporate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4"/>
        <v>Personal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4"/>
        <v>Personal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4"/>
        <v>Personal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4"/>
        <v>Personal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4"/>
        <v>Personal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4"/>
        <v>Personal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4"/>
        <v>Personal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4"/>
        <v>Personal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4"/>
        <v>Personal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4"/>
        <v>Corporate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4"/>
        <v>Personal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4"/>
        <v>Personal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4"/>
        <v>Personal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4"/>
        <v>Personal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4"/>
        <v>Personal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4"/>
        <v>Personal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4"/>
        <v>Corporate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4"/>
        <v>Personal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4"/>
        <v>Special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4"/>
        <v>Personal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4"/>
        <v>Special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4"/>
        <v>Personal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4"/>
        <v>Corporate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4"/>
        <v>Personal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4"/>
        <v>Corporate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4"/>
        <v>Personal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4"/>
        <v>Personal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4"/>
        <v>Personal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4"/>
        <v>Personal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4"/>
        <v>Corporate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4"/>
        <v>Personal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4"/>
        <v>Personal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4"/>
        <v>Corporate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4"/>
        <v>Personal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4"/>
        <v>Personal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4"/>
        <v>Corporate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4"/>
        <v>Personal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4"/>
        <v>Corporate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4"/>
        <v>Personal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4"/>
        <v>Corporate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4"/>
        <v>Personal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4"/>
        <v>Personal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4"/>
        <v>Personal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4"/>
        <v>Corporate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5">IF(I323="Personal Auto","Personal",IF(I323="Corporate Auto","Corporate",IF(I323="Special Auto","Special",I323)))</f>
        <v>Personal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5"/>
        <v>Corporate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5"/>
        <v>Personal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5"/>
        <v>Personal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5"/>
        <v>Personal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5"/>
        <v>Personal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5"/>
        <v>Corporate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5"/>
        <v>Personal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5"/>
        <v>Personal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5"/>
        <v>Personal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5"/>
        <v>Corporate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5"/>
        <v>Personal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5"/>
        <v>Personal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5"/>
        <v>Personal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5"/>
        <v>Personal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5"/>
        <v>Personal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5"/>
        <v>Corporate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5"/>
        <v>Personal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5"/>
        <v>Personal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5"/>
        <v>Personal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5"/>
        <v>Personal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5"/>
        <v>Personal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5"/>
        <v>Personal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5"/>
        <v>Personal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5"/>
        <v>Personal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5"/>
        <v>Personal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5"/>
        <v>Corporate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5"/>
        <v>Personal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5"/>
        <v>Corporate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5"/>
        <v>Personal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5"/>
        <v>Corporate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5"/>
        <v>Corporate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5"/>
        <v>Personal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5"/>
        <v>Personal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5"/>
        <v>Personal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5"/>
        <v>Personal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5"/>
        <v>Personal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5"/>
        <v>Personal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5"/>
        <v>Personal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5"/>
        <v>Personal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5"/>
        <v>Personal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5"/>
        <v>Personal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5"/>
        <v>Personal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5"/>
        <v>Special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5"/>
        <v>Corporate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5"/>
        <v>Personal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5"/>
        <v>Corporate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5"/>
        <v>Personal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5"/>
        <v>Corporate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5"/>
        <v>Personal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5"/>
        <v>Personal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5"/>
        <v>Corporate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5"/>
        <v>Personal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5"/>
        <v>Personal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5"/>
        <v>Special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5"/>
        <v>Personal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5"/>
        <v>Personal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5"/>
        <v>Personal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5"/>
        <v>Corporate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5"/>
        <v>Personal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5"/>
        <v>Special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5"/>
        <v>Personal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5"/>
        <v>Personal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5"/>
        <v>Corporate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6">IF(I387="Personal Auto","Personal",IF(I387="Corporate Auto","Corporate",IF(I387="Special Auto","Special",I387)))</f>
        <v>Personal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6"/>
        <v>Personal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6"/>
        <v>Personal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6"/>
        <v>Personal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6"/>
        <v>Personal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6"/>
        <v>Personal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6"/>
        <v>Corporate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6"/>
        <v>Personal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6"/>
        <v>Personal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6"/>
        <v>Personal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6"/>
        <v>Corporate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6"/>
        <v>Personal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6"/>
        <v>Corporate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6"/>
        <v>Personal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6"/>
        <v>Personal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6"/>
        <v>Personal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6"/>
        <v>Personal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6"/>
        <v>Special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6"/>
        <v>Personal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6"/>
        <v>Personal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6"/>
        <v>Personal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6"/>
        <v>Corporate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6"/>
        <v>Personal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6"/>
        <v>Personal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6"/>
        <v>Personal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6"/>
        <v>Personal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6"/>
        <v>Personal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6"/>
        <v>Corporate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6"/>
        <v>Personal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6"/>
        <v>Personal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6"/>
        <v>Special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6"/>
        <v>Personal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6"/>
        <v>Corporate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6"/>
        <v>Personal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6"/>
        <v>Personal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6"/>
        <v>Personal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6"/>
        <v>Personal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6"/>
        <v>Personal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6"/>
        <v>Personal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6"/>
        <v>Personal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6"/>
        <v>Personal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6"/>
        <v>Personal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6"/>
        <v>Personal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6"/>
        <v>Corporate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6"/>
        <v>Corporate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6"/>
        <v>Personal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6"/>
        <v>Personal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6"/>
        <v>Personal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6"/>
        <v>Corporate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6"/>
        <v>Personal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6"/>
        <v>Personal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6"/>
        <v>Personal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6"/>
        <v>Personal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6"/>
        <v>Personal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6"/>
        <v>Personal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6"/>
        <v>Corporate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6"/>
        <v>Personal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6"/>
        <v>Personal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6"/>
        <v>Personal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6"/>
        <v>Personal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6"/>
        <v>Corporate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6"/>
        <v>Personal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6"/>
        <v>Special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6"/>
        <v>Corporate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7">IF(I451="Personal Auto","Personal",IF(I451="Corporate Auto","Corporate",IF(I451="Special Auto","Special",I451)))</f>
        <v>Personal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7"/>
        <v>Personal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7"/>
        <v>Personal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7"/>
        <v>Personal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7"/>
        <v>Corporate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7"/>
        <v>Personal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7"/>
        <v>Corporate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7"/>
        <v>Corporate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7"/>
        <v>Personal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7"/>
        <v>Corporate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7"/>
        <v>Corporate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7"/>
        <v>Personal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7"/>
        <v>Personal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7"/>
        <v>Personal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7"/>
        <v>Personal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7"/>
        <v>Personal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7"/>
        <v>Personal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7"/>
        <v>Corporate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7"/>
        <v>Corporate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7"/>
        <v>Corporate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7"/>
        <v>Corporate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7"/>
        <v>Personal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7"/>
        <v>Special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7"/>
        <v>Corporate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7"/>
        <v>Corporate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7"/>
        <v>Personal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7"/>
        <v>Personal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7"/>
        <v>Personal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7"/>
        <v>Personal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7"/>
        <v>Personal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7"/>
        <v>Personal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7"/>
        <v>Personal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7"/>
        <v>Personal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7"/>
        <v>Personal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7"/>
        <v>Personal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7"/>
        <v>Personal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7"/>
        <v>Personal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7"/>
        <v>Personal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7"/>
        <v>Personal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7"/>
        <v>Personal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7"/>
        <v>Personal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7"/>
        <v>Corporate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7"/>
        <v>Personal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7"/>
        <v>Personal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7"/>
        <v>Corporate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7"/>
        <v>Personal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7"/>
        <v>Personal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7"/>
        <v>Personal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7"/>
        <v>Personal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7"/>
        <v>Personal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7"/>
        <v>Personal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7"/>
        <v>Corporate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7"/>
        <v>Personal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7"/>
        <v>Corporate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7"/>
        <v>Personal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7"/>
        <v>Corporate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7"/>
        <v>Personal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7"/>
        <v>Corporate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7"/>
        <v>Corporate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7"/>
        <v>Personal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7"/>
        <v>Corporate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7"/>
        <v>Personal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7"/>
        <v>Personal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7"/>
        <v>Corporate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8">IF(I515="Personal Auto","Personal",IF(I515="Corporate Auto","Corporate",IF(I515="Special Auto","Special",I515)))</f>
        <v>Corporate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8"/>
        <v>Personal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8"/>
        <v>Personal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8"/>
        <v>Special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8"/>
        <v>Corporate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8"/>
        <v>Personal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8"/>
        <v>Personal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8"/>
        <v>Corporate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8"/>
        <v>Corporate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8"/>
        <v>Corporate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8"/>
        <v>Personal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8"/>
        <v>Personal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8"/>
        <v>Corporate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8"/>
        <v>Personal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8"/>
        <v>Personal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8"/>
        <v>Personal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8"/>
        <v>Special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8"/>
        <v>Corporate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8"/>
        <v>Personal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8"/>
        <v>Corporate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8"/>
        <v>Personal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8"/>
        <v>Personal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8"/>
        <v>Personal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8"/>
        <v>Personal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8"/>
        <v>Personal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8"/>
        <v>Personal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8"/>
        <v>Personal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8"/>
        <v>Personal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8"/>
        <v>Personal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8"/>
        <v>Corporate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8"/>
        <v>Personal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8"/>
        <v>Special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8"/>
        <v>Personal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8"/>
        <v>Personal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8"/>
        <v>Personal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8"/>
        <v>Personal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8"/>
        <v>Corporate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8"/>
        <v>Personal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8"/>
        <v>Corporate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8"/>
        <v>Personal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8"/>
        <v>Personal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8"/>
        <v>Personal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8"/>
        <v>Personal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8"/>
        <v>Personal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8"/>
        <v>Corporate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8"/>
        <v>Corporate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8"/>
        <v>Personal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8"/>
        <v>Corporate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8"/>
        <v>Corporate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8"/>
        <v>Personal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8"/>
        <v>Personal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8"/>
        <v>Personal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8"/>
        <v>Corporate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8"/>
        <v>Personal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8"/>
        <v>Personal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8"/>
        <v>Corporate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8"/>
        <v>Personal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8"/>
        <v>Personal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8"/>
        <v>Personal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8"/>
        <v>Special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8"/>
        <v>Personal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8"/>
        <v>Personal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8"/>
        <v>Personal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8"/>
        <v>Personal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9">IF(I579="Personal Auto","Personal",IF(I579="Corporate Auto","Corporate",IF(I579="Special Auto","Special",I579)))</f>
        <v>Personal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9"/>
        <v>Personal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9"/>
        <v>Personal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9"/>
        <v>Personal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9"/>
        <v>Personal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9"/>
        <v>Personal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9"/>
        <v>Personal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9"/>
        <v>Personal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9"/>
        <v>Personal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9"/>
        <v>Personal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9"/>
        <v>Personal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9"/>
        <v>Personal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9"/>
        <v>Personal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9"/>
        <v>Personal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9"/>
        <v>Personal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9"/>
        <v>Special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9"/>
        <v>Personal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9"/>
        <v>Corporate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9"/>
        <v>Personal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9"/>
        <v>Personal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9"/>
        <v>Personal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9"/>
        <v>Personal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9"/>
        <v>Personal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9"/>
        <v>Corporate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9"/>
        <v>Personal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9"/>
        <v>Personal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9"/>
        <v>Corporate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9"/>
        <v>Personal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9"/>
        <v>Corporate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9"/>
        <v>Corporate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9"/>
        <v>Personal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9"/>
        <v>Personal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9"/>
        <v>Personal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9"/>
        <v>Special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9"/>
        <v>Personal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9"/>
        <v>Special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9"/>
        <v>Personal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9"/>
        <v>Personal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9"/>
        <v>Corporate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9"/>
        <v>Personal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9"/>
        <v>Corporate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9"/>
        <v>Corporate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9"/>
        <v>Personal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9"/>
        <v>Personal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9"/>
        <v>Personal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9"/>
        <v>Personal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9"/>
        <v>Personal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9"/>
        <v>Personal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9"/>
        <v>Personal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9"/>
        <v>Personal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9"/>
        <v>Personal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9"/>
        <v>Personal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9"/>
        <v>Personal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9"/>
        <v>Personal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9"/>
        <v>Personal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9"/>
        <v>Corporate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9"/>
        <v>Personal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9"/>
        <v>Corporate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9"/>
        <v>Special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9"/>
        <v>Personal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9"/>
        <v>Personal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9"/>
        <v>Personal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9"/>
        <v>Special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9"/>
        <v>Personal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10">IF(I643="Personal Auto","Personal",IF(I643="Corporate Auto","Corporate",IF(I643="Special Auto","Special",I643)))</f>
        <v>Personal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10"/>
        <v>Personal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10"/>
        <v>Personal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10"/>
        <v>Personal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10"/>
        <v>Corporate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10"/>
        <v>Corporate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10"/>
        <v>Personal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10"/>
        <v>Corporate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10"/>
        <v>Personal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10"/>
        <v>Personal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10"/>
        <v>Personal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10"/>
        <v>Personal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10"/>
        <v>Corporate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10"/>
        <v>Personal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10"/>
        <v>Personal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10"/>
        <v>Personal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10"/>
        <v>Personal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10"/>
        <v>Personal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10"/>
        <v>Corporate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10"/>
        <v>Special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10"/>
        <v>Corporate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10"/>
        <v>Corporate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10"/>
        <v>Personal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10"/>
        <v>Personal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10"/>
        <v>Corporate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10"/>
        <v>Personal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10"/>
        <v>Personal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10"/>
        <v>Personal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10"/>
        <v>Personal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10"/>
        <v>Personal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10"/>
        <v>Personal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10"/>
        <v>Personal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10"/>
        <v>Personal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10"/>
        <v>Corporate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10"/>
        <v>Corporate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10"/>
        <v>Personal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10"/>
        <v>Personal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10"/>
        <v>Personal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10"/>
        <v>Personal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10"/>
        <v>Personal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10"/>
        <v>Personal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10"/>
        <v>Personal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10"/>
        <v>Corporate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10"/>
        <v>Special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10"/>
        <v>Personal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10"/>
        <v>Personal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10"/>
        <v>Personal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10"/>
        <v>Personal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10"/>
        <v>Personal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10"/>
        <v>Personal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10"/>
        <v>Personal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10"/>
        <v>Personal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10"/>
        <v>Corporate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10"/>
        <v>Personal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10"/>
        <v>Personal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10"/>
        <v>Corporate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10"/>
        <v>Personal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10"/>
        <v>Corporate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10"/>
        <v>Personal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10"/>
        <v>Personal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10"/>
        <v>Personal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10"/>
        <v>Personal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10"/>
        <v>Corporate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10"/>
        <v>Personal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11">IF(I707="Personal Auto","Personal",IF(I707="Corporate Auto","Corporate",IF(I707="Special Auto","Special",I707)))</f>
        <v>Personal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11"/>
        <v>Personal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11"/>
        <v>Personal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11"/>
        <v>Personal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11"/>
        <v>Personal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11"/>
        <v>Personal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11"/>
        <v>Personal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11"/>
        <v>Personal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11"/>
        <v>Corporate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11"/>
        <v>Personal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11"/>
        <v>Personal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11"/>
        <v>Corporate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11"/>
        <v>Personal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11"/>
        <v>Corporate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11"/>
        <v>Personal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11"/>
        <v>Special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11"/>
        <v>Personal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11"/>
        <v>Personal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11"/>
        <v>Personal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11"/>
        <v>Corporate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11"/>
        <v>Personal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11"/>
        <v>Personal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11"/>
        <v>Corporate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11"/>
        <v>Corporate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11"/>
        <v>Corporate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11"/>
        <v>Personal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11"/>
        <v>Personal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11"/>
        <v>Personal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11"/>
        <v>Corporate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11"/>
        <v>Personal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11"/>
        <v>Personal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11"/>
        <v>Personal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11"/>
        <v>Personal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11"/>
        <v>Personal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11"/>
        <v>Personal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11"/>
        <v>Personal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11"/>
        <v>Personal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11"/>
        <v>Corporate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11"/>
        <v>Personal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11"/>
        <v>Personal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11"/>
        <v>Personal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11"/>
        <v>Personal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11"/>
        <v>Personal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11"/>
        <v>Personal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11"/>
        <v>Special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11"/>
        <v>Personal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11"/>
        <v>Personal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11"/>
        <v>Personal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11"/>
        <v>Special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11"/>
        <v>Personal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11"/>
        <v>Personal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11"/>
        <v>Personal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11"/>
        <v>Corporate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11"/>
        <v>Personal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11"/>
        <v>Personal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11"/>
        <v>Corporate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11"/>
        <v>Personal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11"/>
        <v>Personal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11"/>
        <v>Corporate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11"/>
        <v>Personal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11"/>
        <v>Personal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11"/>
        <v>Corporate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11"/>
        <v>Personal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11"/>
        <v>Personal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12">IF(I771="Personal Auto","Personal",IF(I771="Corporate Auto","Corporate",IF(I771="Special Auto","Special",I771)))</f>
        <v>Corporate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12"/>
        <v>Personal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12"/>
        <v>Personal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12"/>
        <v>Personal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12"/>
        <v>Personal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12"/>
        <v>Personal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12"/>
        <v>Corporate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12"/>
        <v>Personal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12"/>
        <v>Corporate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12"/>
        <v>Corporate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12"/>
        <v>Personal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12"/>
        <v>Personal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12"/>
        <v>Personal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12"/>
        <v>Corporate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12"/>
        <v>Corporate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12"/>
        <v>Personal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12"/>
        <v>Special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12"/>
        <v>Corporate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12"/>
        <v>Personal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12"/>
        <v>Personal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12"/>
        <v>Special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12"/>
        <v>Personal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12"/>
        <v>Personal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12"/>
        <v>Personal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12"/>
        <v>Personal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12"/>
        <v>Personal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12"/>
        <v>Personal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12"/>
        <v>Personal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12"/>
        <v>Personal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12"/>
        <v>Personal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12"/>
        <v>Personal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12"/>
        <v>Personal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12"/>
        <v>Personal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12"/>
        <v>Personal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12"/>
        <v>Corporate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12"/>
        <v>Corporate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12"/>
        <v>Special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12"/>
        <v>Personal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12"/>
        <v>Corporate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12"/>
        <v>Special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12"/>
        <v>Special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12"/>
        <v>Personal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12"/>
        <v>Personal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12"/>
        <v>Personal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12"/>
        <v>Personal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12"/>
        <v>Special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12"/>
        <v>Personal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12"/>
        <v>Personal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12"/>
        <v>Personal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12"/>
        <v>Personal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12"/>
        <v>Personal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12"/>
        <v>Personal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12"/>
        <v>Personal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12"/>
        <v>Personal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12"/>
        <v>Personal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12"/>
        <v>Corporate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12"/>
        <v>Personal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12"/>
        <v>Corporate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12"/>
        <v>Personal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12"/>
        <v>Corporate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12"/>
        <v>Corporate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12"/>
        <v>Corporate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12"/>
        <v>Personal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12"/>
        <v>Personal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13">IF(I835="Personal Auto","Personal",IF(I835="Corporate Auto","Corporate",IF(I835="Special Auto","Special",I835)))</f>
        <v>Personal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13"/>
        <v>Personal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13"/>
        <v>Personal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13"/>
        <v>Personal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13"/>
        <v>Personal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13"/>
        <v>Personal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13"/>
        <v>Personal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13"/>
        <v>Personal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13"/>
        <v>Personal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13"/>
        <v>Personal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13"/>
        <v>Personal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13"/>
        <v>Corporate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13"/>
        <v>Personal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13"/>
        <v>Personal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13"/>
        <v>Personal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13"/>
        <v>Personal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13"/>
        <v>Personal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13"/>
        <v>Personal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13"/>
        <v>Personal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13"/>
        <v>Corporate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13"/>
        <v>Personal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13"/>
        <v>Personal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13"/>
        <v>Personal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13"/>
        <v>Corporate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13"/>
        <v>Personal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13"/>
        <v>Personal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13"/>
        <v>Personal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13"/>
        <v>Personal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13"/>
        <v>Personal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13"/>
        <v>Personal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13"/>
        <v>Personal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13"/>
        <v>Personal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13"/>
        <v>Corporate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13"/>
        <v>Personal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13"/>
        <v>Personal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13"/>
        <v>Personal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13"/>
        <v>Personal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13"/>
        <v>Personal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13"/>
        <v>Personal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13"/>
        <v>Personal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13"/>
        <v>Corporate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13"/>
        <v>Personal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13"/>
        <v>Personal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13"/>
        <v>Personal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13"/>
        <v>Personal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13"/>
        <v>Personal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13"/>
        <v>Corporate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13"/>
        <v>Personal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13"/>
        <v>Personal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13"/>
        <v>Personal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13"/>
        <v>Personal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13"/>
        <v>Special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13"/>
        <v>Corporate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13"/>
        <v>Personal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13"/>
        <v>Corporate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13"/>
        <v>Personal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13"/>
        <v>Corporate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13"/>
        <v>Personal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13"/>
        <v>Corporate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13"/>
        <v>Personal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13"/>
        <v>Special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13"/>
        <v>Corporate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13"/>
        <v>Personal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13"/>
        <v>Personal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14">IF(I899="Personal Auto","Personal",IF(I899="Corporate Auto","Corporate",IF(I899="Special Auto","Special",I899)))</f>
        <v>Corporate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14"/>
        <v>Corporate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14"/>
        <v>Personal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14"/>
        <v>Special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14"/>
        <v>Personal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14"/>
        <v>Personal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14"/>
        <v>Personal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14"/>
        <v>Personal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14"/>
        <v>Personal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14"/>
        <v>Corporate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14"/>
        <v>Personal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14"/>
        <v>Personal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14"/>
        <v>Corporate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14"/>
        <v>Personal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14"/>
        <v>Corporate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14"/>
        <v>Personal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14"/>
        <v>Personal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14"/>
        <v>Corporate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14"/>
        <v>Corporate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14"/>
        <v>Special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14"/>
        <v>Special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14"/>
        <v>Personal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14"/>
        <v>Personal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14"/>
        <v>Corporate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14"/>
        <v>Personal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14"/>
        <v>Personal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14"/>
        <v>Personal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14"/>
        <v>Personal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14"/>
        <v>Corporate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14"/>
        <v>Personal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14"/>
        <v>Special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14"/>
        <v>Personal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14"/>
        <v>Personal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14"/>
        <v>Corporate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14"/>
        <v>Personal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14"/>
        <v>Special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14"/>
        <v>Personal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14"/>
        <v>Personal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14"/>
        <v>Personal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14"/>
        <v>Personal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14"/>
        <v>Personal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14"/>
        <v>Corporate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14"/>
        <v>Personal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14"/>
        <v>Corporate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14"/>
        <v>Personal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14"/>
        <v>Personal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14"/>
        <v>Personal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14"/>
        <v>Special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14"/>
        <v>Personal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14"/>
        <v>Personal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14"/>
        <v>Personal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14"/>
        <v>Personal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14"/>
        <v>Personal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14"/>
        <v>Personal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14"/>
        <v>Personal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14"/>
        <v>Corporate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14"/>
        <v>Personal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14"/>
        <v>Personal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14"/>
        <v>Personal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14"/>
        <v>Personal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14"/>
        <v>Personal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14"/>
        <v>Personal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14"/>
        <v>Personal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14"/>
        <v>Corporate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15">IF(I963="Personal Auto","Personal",IF(I963="Corporate Auto","Corporate",IF(I963="Special Auto","Special",I963)))</f>
        <v>Personal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15"/>
        <v>Corporate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15"/>
        <v>Personal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15"/>
        <v>Corporate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15"/>
        <v>Personal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15"/>
        <v>Personal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15"/>
        <v>Personal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15"/>
        <v>Corporate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15"/>
        <v>Personal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15"/>
        <v>Personal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15"/>
        <v>Personal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15"/>
        <v>Corporate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15"/>
        <v>Corporate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15"/>
        <v>Corporate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15"/>
        <v>Personal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15"/>
        <v>Personal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15"/>
        <v>Special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15"/>
        <v>Corporate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15"/>
        <v>Corporate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15"/>
        <v>Corporate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15"/>
        <v>Personal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15"/>
        <v>Personal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15"/>
        <v>Personal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15"/>
        <v>Personal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15"/>
        <v>Personal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15"/>
        <v>Personal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15"/>
        <v>Special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15"/>
        <v>Personal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15"/>
        <v>Corporate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15"/>
        <v>Personal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15"/>
        <v>Personal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15"/>
        <v>Personal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15"/>
        <v>Personal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15"/>
        <v>Personal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15"/>
        <v>Personal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15"/>
        <v>Personal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15"/>
        <v>Corporate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15"/>
        <v>Personal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15"/>
        <v>Corporate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15"/>
        <v>Personal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15"/>
        <v>Personal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15"/>
        <v>Personal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15"/>
        <v>Personal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15"/>
        <v>Personal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15"/>
        <v>Personal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15"/>
        <v>Personal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15"/>
        <v>Personal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15"/>
        <v>Special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15"/>
        <v>Corporate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15"/>
        <v>Corporate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15"/>
        <v>Personal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15"/>
        <v>Personal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15"/>
        <v>Special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15"/>
        <v>Personal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15"/>
        <v>Personal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15"/>
        <v>Personal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15"/>
        <v>Personal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15"/>
        <v>Corporate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15"/>
        <v>Personal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15"/>
        <v>Corporate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15"/>
        <v>Personal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15"/>
        <v>Personal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15"/>
        <v>Corporate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15"/>
        <v>Personal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16">IF(I1027="Personal Auto","Personal",IF(I1027="Corporate Auto","Corporate",IF(I1027="Special Auto","Special",I1027)))</f>
        <v>Corporate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16"/>
        <v>Special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16"/>
        <v>Corporate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16"/>
        <v>Personal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16"/>
        <v>Personal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16"/>
        <v>Personal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16"/>
        <v>Personal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16"/>
        <v>Corporate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16"/>
        <v>Personal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16"/>
        <v>Personal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16"/>
        <v>Personal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16"/>
        <v>Personal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16"/>
        <v>Personal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16"/>
        <v>Personal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16"/>
        <v>Corporate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16"/>
        <v>Personal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16"/>
        <v>Corporate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16"/>
        <v>Personal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16"/>
        <v>Personal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16"/>
        <v>Personal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16"/>
        <v>Corporate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16"/>
        <v>Personal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16"/>
        <v>Personal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16"/>
        <v>Personal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16"/>
        <v>Personal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16"/>
        <v>Corporate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16"/>
        <v>Personal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16"/>
        <v>Corporate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16"/>
        <v>Personal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16"/>
        <v>Personal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16"/>
        <v>Personal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16"/>
        <v>Corporate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16"/>
        <v>Personal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16"/>
        <v>Personal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16"/>
        <v>Corporate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16"/>
        <v>Personal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16"/>
        <v>Personal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16"/>
        <v>Personal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16"/>
        <v>Personal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16"/>
        <v>Personal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16"/>
        <v>Personal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16"/>
        <v>Personal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16"/>
        <v>Personal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16"/>
        <v>Personal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16"/>
        <v>Special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16"/>
        <v>Personal</v>
      </c>
    </row>
  </sheetData>
  <autoFilter ref="A1:L1072" xr:uid="{8C010D7E-C0FB-4DE9-899B-7F01A30994E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M1072"/>
  <sheetViews>
    <sheetView topLeftCell="D1" zoomScale="80" zoomScaleNormal="80" workbookViewId="0">
      <selection activeCell="M1" sqref="M1:M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7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IF(J2="Two-Door Car","2",IF(J2="Four-Door Car","4",IF(J2="SUV","4",IF(J2="Luxury SUV","4",IF(J2="Sports Car","2","")))))</f>
        <v>4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0">IF(J3="Two-Door Car","2",IF(J3="Four-Door Car","4",IF(J3="SUV","4",IF(J3="Luxury SUV","4",IF(J3="Sports Car","2","")))))</f>
        <v>4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0"/>
        <v>2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0"/>
        <v>4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0"/>
        <v>4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0"/>
        <v>2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0"/>
        <v>4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0"/>
        <v>4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0"/>
        <v>4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0"/>
        <v>4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0"/>
        <v>4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0"/>
        <v>4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0"/>
        <v>4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0"/>
        <v>4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0"/>
        <v>4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0"/>
        <v>4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0"/>
        <v>2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0"/>
        <v>4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0"/>
        <v>4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0"/>
        <v>4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0"/>
        <v>2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0"/>
        <v>2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0"/>
        <v>4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0"/>
        <v>4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0"/>
        <v>4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0"/>
        <v>4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0"/>
        <v>4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0"/>
        <v>4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0"/>
        <v>4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0"/>
        <v>4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0"/>
        <v>4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0"/>
        <v>4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0"/>
        <v>4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0"/>
        <v>4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0"/>
        <v>4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0"/>
        <v>4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0"/>
        <v>4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0"/>
        <v>4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0"/>
        <v>2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0"/>
        <v>4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0"/>
        <v>2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0"/>
        <v>2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0"/>
        <v>4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0"/>
        <v>2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0"/>
        <v>4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0"/>
        <v>4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0"/>
        <v>4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0"/>
        <v>2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0"/>
        <v>4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0"/>
        <v>4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0"/>
        <v>4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0"/>
        <v>4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0"/>
        <v>4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0"/>
        <v>2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0"/>
        <v>4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0"/>
        <v>4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0"/>
        <v>4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0"/>
        <v>4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0"/>
        <v>4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0"/>
        <v>4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0"/>
        <v>4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0"/>
        <v>2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0"/>
        <v>2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0"/>
        <v>4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0"/>
        <v>4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1">IF(J67="Two-Door Car","2",IF(J67="Four-Door Car","4",IF(J67="SUV","4",IF(J67="Luxury SUV","4",IF(J67="Sports Car","2","")))))</f>
        <v>4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1"/>
        <v>4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1"/>
        <v>2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1"/>
        <v>2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1"/>
        <v>4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1"/>
        <v>4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1"/>
        <v>2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1"/>
        <v>4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1"/>
        <v>2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1"/>
        <v>2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1"/>
        <v>4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1"/>
        <v>4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1"/>
        <v>4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1"/>
        <v>4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1"/>
        <v/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1"/>
        <v>2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1"/>
        <v>4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1"/>
        <v>4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1"/>
        <v>4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1"/>
        <v>4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1"/>
        <v>4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1"/>
        <v>4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1"/>
        <v>4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1"/>
        <v>4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1"/>
        <v>4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1"/>
        <v>2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1"/>
        <v>2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1"/>
        <v>4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1"/>
        <v>2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1"/>
        <v>4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1"/>
        <v>4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1"/>
        <v>4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1"/>
        <v>4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1"/>
        <v>4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1"/>
        <v>2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1"/>
        <v>4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1"/>
        <v>4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1"/>
        <v>2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1"/>
        <v>4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1"/>
        <v>4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1"/>
        <v>4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1"/>
        <v>4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1"/>
        <v>4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1"/>
        <v>2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1"/>
        <v>4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1"/>
        <v>4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1"/>
        <v>2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1"/>
        <v>4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1"/>
        <v>4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1"/>
        <v>4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1"/>
        <v>4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1"/>
        <v>4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1"/>
        <v>2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1"/>
        <v>2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1"/>
        <v>4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1"/>
        <v>4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1"/>
        <v>2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1"/>
        <v>2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1"/>
        <v>4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1"/>
        <v>4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1"/>
        <v>4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1"/>
        <v>4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1"/>
        <v>4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1"/>
        <v>4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2">IF(J131="Two-Door Car","2",IF(J131="Four-Door Car","4",IF(J131="SUV","4",IF(J131="Luxury SUV","4",IF(J131="Sports Car","2","")))))</f>
        <v>2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2"/>
        <v>2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2"/>
        <v>4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2"/>
        <v>4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2"/>
        <v>4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2"/>
        <v>4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2"/>
        <v>4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2"/>
        <v>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2"/>
        <v>4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2"/>
        <v>4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2"/>
        <v>4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2"/>
        <v>2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2"/>
        <v>4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2"/>
        <v>2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2"/>
        <v>4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2"/>
        <v>4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2"/>
        <v>4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2"/>
        <v>4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2"/>
        <v>2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2"/>
        <v>4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2"/>
        <v>4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2"/>
        <v>4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2"/>
        <v>4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2"/>
        <v>4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2"/>
        <v>4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2"/>
        <v>4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2"/>
        <v>4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2"/>
        <v>4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2"/>
        <v>4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2"/>
        <v>2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2"/>
        <v>2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2"/>
        <v>2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2"/>
        <v>4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2"/>
        <v>4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2"/>
        <v>2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2"/>
        <v>4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2"/>
        <v>4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2"/>
        <v>4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2"/>
        <v>4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2"/>
        <v>4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2"/>
        <v>4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2"/>
        <v>4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2"/>
        <v>4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2"/>
        <v>4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2"/>
        <v>4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2"/>
        <v>4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2"/>
        <v>2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2"/>
        <v>4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2"/>
        <v>2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2"/>
        <v>4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2"/>
        <v>2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2"/>
        <v>4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2"/>
        <v/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2"/>
        <v>4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2"/>
        <v>4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2"/>
        <v>4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2"/>
        <v>4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2"/>
        <v>4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2"/>
        <v>4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2"/>
        <v>4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2"/>
        <v>4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2"/>
        <v>4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2"/>
        <v>2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2"/>
        <v>2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3">IF(J195="Two-Door Car","2",IF(J195="Four-Door Car","4",IF(J195="SUV","4",IF(J195="Luxury SUV","4",IF(J195="Sports Car","2","")))))</f>
        <v>2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3"/>
        <v>4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3"/>
        <v>4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3"/>
        <v>4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3"/>
        <v>4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3"/>
        <v>2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3"/>
        <v>4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3"/>
        <v>4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3"/>
        <v>4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3"/>
        <v>4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3"/>
        <v>4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3"/>
        <v>4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3"/>
        <v>4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3"/>
        <v>4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3"/>
        <v>4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3"/>
        <v>4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3"/>
        <v>4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3"/>
        <v>2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3"/>
        <v>4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3"/>
        <v>2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3"/>
        <v>4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3"/>
        <v>4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3"/>
        <v>4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3"/>
        <v>2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3"/>
        <v>2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3"/>
        <v>2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3"/>
        <v>4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3"/>
        <v>4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3"/>
        <v>4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3"/>
        <v>4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3"/>
        <v>2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3"/>
        <v>4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3"/>
        <v>4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3"/>
        <v>2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3"/>
        <v>4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3"/>
        <v>4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3"/>
        <v>4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3"/>
        <v>4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3"/>
        <v>2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3"/>
        <v>4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3"/>
        <v>4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3"/>
        <v>2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3"/>
        <v>2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3"/>
        <v>4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3"/>
        <v>4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3"/>
        <v>4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3"/>
        <v>4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3"/>
        <v>2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3"/>
        <v>4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3"/>
        <v>4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3"/>
        <v>2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3"/>
        <v>2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3"/>
        <v>2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3"/>
        <v>4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3"/>
        <v>4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3"/>
        <v>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3"/>
        <v>4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3"/>
        <v>2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3"/>
        <v>2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3"/>
        <v>4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3"/>
        <v>4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3"/>
        <v>4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3"/>
        <v>4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3"/>
        <v>4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4">IF(J259="Two-Door Car","2",IF(J259="Four-Door Car","4",IF(J259="SUV","4",IF(J259="Luxury SUV","4",IF(J259="Sports Car","2","")))))</f>
        <v>2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4"/>
        <v>4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4"/>
        <v>4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4"/>
        <v>4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4"/>
        <v>4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4"/>
        <v>4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4"/>
        <v>4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4"/>
        <v>4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4"/>
        <v>4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4"/>
        <v>4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4"/>
        <v>2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4"/>
        <v>4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4"/>
        <v>2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4"/>
        <v>2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4"/>
        <v>4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4"/>
        <v>4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4"/>
        <v>2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4"/>
        <v>4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4"/>
        <v>2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4"/>
        <v>4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4"/>
        <v>4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4"/>
        <v>2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4"/>
        <v>2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4"/>
        <v>4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4"/>
        <v>2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4"/>
        <v>4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4"/>
        <v>2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4"/>
        <v>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4"/>
        <v>4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4"/>
        <v>4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4"/>
        <v>4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4"/>
        <v>2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4"/>
        <v>4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4"/>
        <v>4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4"/>
        <v>4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4"/>
        <v/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4"/>
        <v>4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4"/>
        <v>2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4"/>
        <v>4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4"/>
        <v>4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4"/>
        <v>4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4"/>
        <v>4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4"/>
        <v>4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4"/>
        <v>4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4"/>
        <v>4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4"/>
        <v>2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4"/>
        <v>4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4"/>
        <v>4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4"/>
        <v>4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4"/>
        <v>4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4"/>
        <v>4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4"/>
        <v>4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4"/>
        <v>4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4"/>
        <v>4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4"/>
        <v>4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4"/>
        <v>4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4"/>
        <v>4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4"/>
        <v>4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4"/>
        <v>4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4"/>
        <v>4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4"/>
        <v>2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4"/>
        <v>4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4"/>
        <v>4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4"/>
        <v>4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5">IF(J323="Two-Door Car","2",IF(J323="Four-Door Car","4",IF(J323="SUV","4",IF(J323="Luxury SUV","4",IF(J323="Sports Car","2","")))))</f>
        <v>4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5"/>
        <v>4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5"/>
        <v>4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5"/>
        <v>4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5"/>
        <v>4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5"/>
        <v>4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5"/>
        <v>4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5"/>
        <v>4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5"/>
        <v>2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5"/>
        <v>4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5"/>
        <v>4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5"/>
        <v>2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5"/>
        <v>4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5"/>
        <v>4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5"/>
        <v>2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5"/>
        <v>4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5"/>
        <v>4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5"/>
        <v>4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5"/>
        <v>2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5"/>
        <v>4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5"/>
        <v>4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5"/>
        <v>4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5"/>
        <v>4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5"/>
        <v>4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5"/>
        <v>4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5"/>
        <v>4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5"/>
        <v>4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5"/>
        <v>4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5"/>
        <v>4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5"/>
        <v>4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5"/>
        <v>4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5"/>
        <v>4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5"/>
        <v>4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5"/>
        <v>4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5"/>
        <v>2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5"/>
        <v>4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5"/>
        <v>4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5"/>
        <v>4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5"/>
        <v>4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5"/>
        <v>4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5"/>
        <v>4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5"/>
        <v>2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5"/>
        <v>4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5"/>
        <v>4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5"/>
        <v>4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5"/>
        <v>4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5"/>
        <v>4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5"/>
        <v>4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5"/>
        <v>4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5"/>
        <v>2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5"/>
        <v>2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5"/>
        <v>4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5"/>
        <v>4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5"/>
        <v>2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5"/>
        <v>4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5"/>
        <v>4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5"/>
        <v>4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5"/>
        <v>2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5"/>
        <v>4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5"/>
        <v>4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5"/>
        <v>4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5"/>
        <v>4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5"/>
        <v>4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5"/>
        <v>4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6">IF(J387="Two-Door Car","2",IF(J387="Four-Door Car","4",IF(J387="SUV","4",IF(J387="Luxury SUV","4",IF(J387="Sports Car","2","")))))</f>
        <v>4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6"/>
        <v>4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6"/>
        <v>4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6"/>
        <v>2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6"/>
        <v>4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6"/>
        <v>4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6"/>
        <v>4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6"/>
        <v>4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6"/>
        <v>2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6"/>
        <v>2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6"/>
        <v>4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6"/>
        <v>2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6"/>
        <v>4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6"/>
        <v>4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6"/>
        <v>4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6"/>
        <v>4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6"/>
        <v>4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6"/>
        <v>4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6"/>
        <v>4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6"/>
        <v>4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6"/>
        <v>4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6"/>
        <v>4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6"/>
        <v>2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6"/>
        <v>2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6"/>
        <v>4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6"/>
        <v>4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6"/>
        <v>4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6"/>
        <v>4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6"/>
        <v>2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6"/>
        <v>4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6"/>
        <v>2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6"/>
        <v>2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6"/>
        <v>4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6"/>
        <v/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6"/>
        <v>4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6"/>
        <v>2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6"/>
        <v>4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6"/>
        <v>2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6"/>
        <v>2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6"/>
        <v>4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6"/>
        <v/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6"/>
        <v>4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6"/>
        <v>2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6"/>
        <v>4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6"/>
        <v>4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6"/>
        <v>2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6"/>
        <v>4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6"/>
        <v>4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6"/>
        <v>2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6"/>
        <v>4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6"/>
        <v>4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6"/>
        <v>2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6"/>
        <v>4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6"/>
        <v>2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6"/>
        <v>4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6"/>
        <v>4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6"/>
        <v>2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6"/>
        <v>4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6"/>
        <v>4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6"/>
        <v>2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6"/>
        <v>4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6"/>
        <v>4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6"/>
        <v>4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6"/>
        <v>4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7">IF(J451="Two-Door Car","2",IF(J451="Four-Door Car","4",IF(J451="SUV","4",IF(J451="Luxury SUV","4",IF(J451="Sports Car","2","")))))</f>
        <v>4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7"/>
        <v>2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7"/>
        <v>4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7"/>
        <v>4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7"/>
        <v>4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7"/>
        <v>4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7"/>
        <v>4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7"/>
        <v>2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7"/>
        <v>2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7"/>
        <v>4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7"/>
        <v>2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7"/>
        <v>4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7"/>
        <v>4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7"/>
        <v>4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7"/>
        <v>2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7"/>
        <v>4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7"/>
        <v>2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7"/>
        <v>4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7"/>
        <v>4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7"/>
        <v>4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7"/>
        <v>4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7"/>
        <v>4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7"/>
        <v>4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7"/>
        <v>2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7"/>
        <v>2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7"/>
        <v>4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7"/>
        <v>2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7"/>
        <v>2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7"/>
        <v>4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7"/>
        <v>2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7"/>
        <v>2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7"/>
        <v>4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7"/>
        <v>4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7"/>
        <v>4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7"/>
        <v>2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7"/>
        <v>4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7"/>
        <v>4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7"/>
        <v>4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7"/>
        <v>4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7"/>
        <v>2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7"/>
        <v>4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7"/>
        <v>4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7"/>
        <v>4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7"/>
        <v>2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7"/>
        <v>2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7"/>
        <v>4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7"/>
        <v>4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7"/>
        <v>4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7"/>
        <v>4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7"/>
        <v>4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7"/>
        <v>4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7"/>
        <v>2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7"/>
        <v>4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7"/>
        <v>4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7"/>
        <v>4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7"/>
        <v>2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7"/>
        <v>4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7"/>
        <v>4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7"/>
        <v>4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7"/>
        <v>4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7"/>
        <v>2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7"/>
        <v>4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7"/>
        <v>4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7"/>
        <v>2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8">IF(J515="Two-Door Car","2",IF(J515="Four-Door Car","4",IF(J515="SUV","4",IF(J515="Luxury SUV","4",IF(J515="Sports Car","2","")))))</f>
        <v>4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8"/>
        <v>4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8"/>
        <v>2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8"/>
        <v>4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8"/>
        <v>4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8"/>
        <v>2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8"/>
        <v>4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8"/>
        <v>4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8"/>
        <v>4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8"/>
        <v/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8"/>
        <v>4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8"/>
        <v>2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8"/>
        <v>4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8"/>
        <v>2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8"/>
        <v>2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8"/>
        <v>4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8"/>
        <v>4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8"/>
        <v>4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8"/>
        <v>2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8"/>
        <v>4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8"/>
        <v>4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8"/>
        <v>4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8"/>
        <v>4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8"/>
        <v>4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8"/>
        <v>4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8"/>
        <v>2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8"/>
        <v>4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8"/>
        <v>2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8"/>
        <v/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8"/>
        <v>4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8"/>
        <v>4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8"/>
        <v>4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8"/>
        <v>4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8"/>
        <v>4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8"/>
        <v>4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8"/>
        <v>4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8"/>
        <v>4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8"/>
        <v>4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8"/>
        <v>4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8"/>
        <v>4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8"/>
        <v>4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8"/>
        <v>2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8"/>
        <v>2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8"/>
        <v>4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8"/>
        <v>4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8"/>
        <v>4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8"/>
        <v>2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8"/>
        <v>4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8"/>
        <v>4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8"/>
        <v>4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8"/>
        <v>4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8"/>
        <v>4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8"/>
        <v>2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8"/>
        <v>2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8"/>
        <v>4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8"/>
        <v>4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8"/>
        <v>2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8"/>
        <v>4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8"/>
        <v>2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8"/>
        <v>2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8"/>
        <v>4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8"/>
        <v>4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8"/>
        <v>2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8"/>
        <v>2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9">IF(J579="Two-Door Car","2",IF(J579="Four-Door Car","4",IF(J579="SUV","4",IF(J579="Luxury SUV","4",IF(J579="Sports Car","2","")))))</f>
        <v>2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9"/>
        <v>4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9"/>
        <v>4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9"/>
        <v>4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9"/>
        <v/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9"/>
        <v>2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9"/>
        <v>4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9"/>
        <v>2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9"/>
        <v>4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9"/>
        <v>4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9"/>
        <v>4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9"/>
        <v>4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9"/>
        <v>2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9"/>
        <v>4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9"/>
        <v>4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9"/>
        <v>2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9"/>
        <v>4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9"/>
        <v>2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9"/>
        <v>4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9"/>
        <v>4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9"/>
        <v>4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9"/>
        <v>4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9"/>
        <v>4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9"/>
        <v>4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9"/>
        <v>2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9"/>
        <v>4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9"/>
        <v>4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9"/>
        <v>2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9"/>
        <v>2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9"/>
        <v>4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9"/>
        <v>4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9"/>
        <v>4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9"/>
        <v>4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9"/>
        <v>4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9"/>
        <v>2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9"/>
        <v>4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9"/>
        <v>4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9"/>
        <v>4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9"/>
        <v>4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9"/>
        <v>4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9"/>
        <v>4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9"/>
        <v>4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9"/>
        <v>4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9"/>
        <v>4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9"/>
        <v>4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9"/>
        <v>2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9"/>
        <v>2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9"/>
        <v>4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9"/>
        <v>4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9"/>
        <v>2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9"/>
        <v>2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9"/>
        <v>2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9"/>
        <v>4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9"/>
        <v>4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9"/>
        <v>4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9"/>
        <v>4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9"/>
        <v>4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9"/>
        <v>4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9"/>
        <v>4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9"/>
        <v>4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9"/>
        <v>4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9"/>
        <v>2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9"/>
        <v>4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9"/>
        <v>4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10">IF(J643="Two-Door Car","2",IF(J643="Four-Door Car","4",IF(J643="SUV","4",IF(J643="Luxury SUV","4",IF(J643="Sports Car","2","")))))</f>
        <v>4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10"/>
        <v>4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10"/>
        <v>2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10"/>
        <v>4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10"/>
        <v>4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10"/>
        <v>4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10"/>
        <v>2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10"/>
        <v>4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10"/>
        <v>4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10"/>
        <v>4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10"/>
        <v>4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10"/>
        <v>2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10"/>
        <v>4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10"/>
        <v>2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10"/>
        <v>2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10"/>
        <v>4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10"/>
        <v>4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10"/>
        <v>2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10"/>
        <v>2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10"/>
        <v>4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10"/>
        <v>4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10"/>
        <v>4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10"/>
        <v>4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10"/>
        <v>4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10"/>
        <v>4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10"/>
        <v>2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10"/>
        <v>2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10"/>
        <v>4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10"/>
        <v>4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10"/>
        <v>4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10"/>
        <v>4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10"/>
        <v>2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10"/>
        <v>4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10"/>
        <v>4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10"/>
        <v>4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10"/>
        <v>4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10"/>
        <v>4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10"/>
        <v>4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10"/>
        <v>4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10"/>
        <v>2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10"/>
        <v>4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10"/>
        <v>4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10"/>
        <v>4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10"/>
        <v>4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10"/>
        <v>2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10"/>
        <v>4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10"/>
        <v>4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10"/>
        <v>2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10"/>
        <v>4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10"/>
        <v>2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10"/>
        <v>4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10"/>
        <v>4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10"/>
        <v>2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10"/>
        <v>2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10"/>
        <v>4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10"/>
        <v>4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10"/>
        <v>2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10"/>
        <v>4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10"/>
        <v>4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10"/>
        <v>4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10"/>
        <v>2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10"/>
        <v>4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10"/>
        <v>4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10"/>
        <v>2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11">IF(J707="Two-Door Car","2",IF(J707="Four-Door Car","4",IF(J707="SUV","4",IF(J707="Luxury SUV","4",IF(J707="Sports Car","2","")))))</f>
        <v>4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11"/>
        <v>4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11"/>
        <v>2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11"/>
        <v>4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11"/>
        <v>4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11"/>
        <v>4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11"/>
        <v>2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11"/>
        <v>4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11"/>
        <v>4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11"/>
        <v>4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11"/>
        <v>2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11"/>
        <v>4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11"/>
        <v>4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11"/>
        <v>2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11"/>
        <v>4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11"/>
        <v>4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11"/>
        <v>2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11"/>
        <v>4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11"/>
        <v>4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11"/>
        <v>4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11"/>
        <v>4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11"/>
        <v>2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11"/>
        <v>4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11"/>
        <v>4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11"/>
        <v>4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11"/>
        <v>4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11"/>
        <v>2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11"/>
        <v>4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11"/>
        <v>2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11"/>
        <v>4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11"/>
        <v>4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11"/>
        <v>4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11"/>
        <v>2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11"/>
        <v>2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11"/>
        <v>4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11"/>
        <v>4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11"/>
        <v>2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11"/>
        <v>4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11"/>
        <v>4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11"/>
        <v>4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11"/>
        <v>4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11"/>
        <v>2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11"/>
        <v>4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11"/>
        <v>4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11"/>
        <v>4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11"/>
        <v>4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11"/>
        <v>2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11"/>
        <v>2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11"/>
        <v>4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11"/>
        <v>4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11"/>
        <v>4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11"/>
        <v>4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11"/>
        <v>4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11"/>
        <v>4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11"/>
        <v>4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11"/>
        <v>4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11"/>
        <v>2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11"/>
        <v>2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11"/>
        <v>2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11"/>
        <v>2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11"/>
        <v>4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11"/>
        <v>2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11"/>
        <v>2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11"/>
        <v>4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12">IF(J771="Two-Door Car","2",IF(J771="Four-Door Car","4",IF(J771="SUV","4",IF(J771="Luxury SUV","4",IF(J771="Sports Car","2","")))))</f>
        <v>4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12"/>
        <v>2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12"/>
        <v>2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12"/>
        <v>4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12"/>
        <v>4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12"/>
        <v>2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12"/>
        <v/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12"/>
        <v>4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12"/>
        <v>4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12"/>
        <v>4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12"/>
        <v>4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12"/>
        <v>4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12"/>
        <v>4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12"/>
        <v>4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12"/>
        <v>4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12"/>
        <v>4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12"/>
        <v>4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12"/>
        <v>4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12"/>
        <v>2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12"/>
        <v>4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12"/>
        <v>4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12"/>
        <v>4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12"/>
        <v>2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12"/>
        <v>2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12"/>
        <v>2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12"/>
        <v>4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12"/>
        <v>4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12"/>
        <v>4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12"/>
        <v>4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12"/>
        <v>4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12"/>
        <v>2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12"/>
        <v>4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12"/>
        <v>4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12"/>
        <v>4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12"/>
        <v>4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12"/>
        <v>4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12"/>
        <v>4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12"/>
        <v>4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12"/>
        <v>4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12"/>
        <v>4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12"/>
        <v>4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12"/>
        <v/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12"/>
        <v>4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12"/>
        <v>4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12"/>
        <v>2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12"/>
        <v>4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12"/>
        <v>4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12"/>
        <v>4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12"/>
        <v/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12"/>
        <v>4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12"/>
        <v>4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12"/>
        <v>2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12"/>
        <v>2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12"/>
        <v>4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12"/>
        <v>4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12"/>
        <v>4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12"/>
        <v>4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12"/>
        <v>4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12"/>
        <v>4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12"/>
        <v>4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12"/>
        <v>4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12"/>
        <v>4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12"/>
        <v>4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12"/>
        <v/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13">IF(J835="Two-Door Car","2",IF(J835="Four-Door Car","4",IF(J835="SUV","4",IF(J835="Luxury SUV","4",IF(J835="Sports Car","2","")))))</f>
        <v>4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13"/>
        <v>4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13"/>
        <v>4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13"/>
        <v>4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13"/>
        <v>2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13"/>
        <v>4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13"/>
        <v>4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13"/>
        <v>4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13"/>
        <v>4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13"/>
        <v>4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13"/>
        <v>4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13"/>
        <v>4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13"/>
        <v>4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13"/>
        <v>4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13"/>
        <v>4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13"/>
        <v>4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13"/>
        <v>2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13"/>
        <v>4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13"/>
        <v>4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13"/>
        <v>4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13"/>
        <v>4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13"/>
        <v>4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13"/>
        <v>4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13"/>
        <v>4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13"/>
        <v>4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13"/>
        <v>2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13"/>
        <v>2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13"/>
        <v>4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13"/>
        <v>2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13"/>
        <v>4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13"/>
        <v>2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13"/>
        <v>4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13"/>
        <v>4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13"/>
        <v>4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13"/>
        <v>4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13"/>
        <v>4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13"/>
        <v>4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13"/>
        <v>2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13"/>
        <v>4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13"/>
        <v>2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13"/>
        <v>2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13"/>
        <v>4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13"/>
        <v>4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13"/>
        <v>4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13"/>
        <v>2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13"/>
        <v>4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13"/>
        <v>4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13"/>
        <v>4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13"/>
        <v>4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13"/>
        <v>4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13"/>
        <v>4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13"/>
        <v>2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13"/>
        <v>2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13"/>
        <v>4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13"/>
        <v>4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13"/>
        <v>4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13"/>
        <v>4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13"/>
        <v>4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13"/>
        <v>4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13"/>
        <v>4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13"/>
        <v>4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13"/>
        <v>4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13"/>
        <v>4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13"/>
        <v>4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14">IF(J899="Two-Door Car","2",IF(J899="Four-Door Car","4",IF(J899="SUV","4",IF(J899="Luxury SUV","4",IF(J899="Sports Car","2","")))))</f>
        <v>4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14"/>
        <v>2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14"/>
        <v>4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14"/>
        <v>4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14"/>
        <v>4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14"/>
        <v>2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14"/>
        <v>4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14"/>
        <v>2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14"/>
        <v>4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14"/>
        <v>4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14"/>
        <v>4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14"/>
        <v>4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14"/>
        <v>4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14"/>
        <v>4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14"/>
        <v>4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14"/>
        <v>4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14"/>
        <v>4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14"/>
        <v>4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14"/>
        <v>4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14"/>
        <v>4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14"/>
        <v>4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14"/>
        <v>4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14"/>
        <v>4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14"/>
        <v>4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14"/>
        <v>4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14"/>
        <v>2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14"/>
        <v>4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14"/>
        <v>4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14"/>
        <v>4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14"/>
        <v/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14"/>
        <v>4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14"/>
        <v>4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14"/>
        <v>4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14"/>
        <v>4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14"/>
        <v>4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14"/>
        <v>4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14"/>
        <v>4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14"/>
        <v>4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14"/>
        <v>4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14"/>
        <v>4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14"/>
        <v>2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14"/>
        <v>4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14"/>
        <v>4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14"/>
        <v>2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14"/>
        <v>4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14"/>
        <v>4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14"/>
        <v>4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14"/>
        <v/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14"/>
        <v>4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14"/>
        <v>4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14"/>
        <v>4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14"/>
        <v>2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14"/>
        <v>4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14"/>
        <v>4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14"/>
        <v>4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14"/>
        <v>4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14"/>
        <v>4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14"/>
        <v>2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14"/>
        <v>4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14"/>
        <v>4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14"/>
        <v>4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14"/>
        <v>2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14"/>
        <v>4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14"/>
        <v>4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15">IF(J963="Two-Door Car","2",IF(J963="Four-Door Car","4",IF(J963="SUV","4",IF(J963="Luxury SUV","4",IF(J963="Sports Car","2","")))))</f>
        <v>4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15"/>
        <v>2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15"/>
        <v>4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15"/>
        <v>2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15"/>
        <v>2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15"/>
        <v>4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15"/>
        <v>4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15"/>
        <v>2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15"/>
        <v>2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15"/>
        <v>4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15"/>
        <v>4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15"/>
        <v>2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15"/>
        <v>4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15"/>
        <v>2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15"/>
        <v>4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15"/>
        <v>4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15"/>
        <v>4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15"/>
        <v>4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15"/>
        <v>4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15"/>
        <v>4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15"/>
        <v>2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15"/>
        <v>4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15"/>
        <v>4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15"/>
        <v>4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15"/>
        <v>2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15"/>
        <v>4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15"/>
        <v>4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15"/>
        <v>4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15"/>
        <v>4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15"/>
        <v>4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15"/>
        <v>4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15"/>
        <v>2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15"/>
        <v>2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15"/>
        <v>4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15"/>
        <v>4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15"/>
        <v>4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15"/>
        <v>2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15"/>
        <v>2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15"/>
        <v>4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15"/>
        <v>4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15"/>
        <v>4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15"/>
        <v>4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15"/>
        <v>4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15"/>
        <v>4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15"/>
        <v>2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15"/>
        <v>4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15"/>
        <v>4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15"/>
        <v>2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15"/>
        <v>4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15"/>
        <v>2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15"/>
        <v>4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15"/>
        <v>4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15"/>
        <v>4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15"/>
        <v>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15"/>
        <v>2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15"/>
        <v>4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15"/>
        <v>2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15"/>
        <v>2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15"/>
        <v>4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15"/>
        <v>2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15"/>
        <v>4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15"/>
        <v>2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15"/>
        <v>4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15"/>
        <v>4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16">IF(J1027="Two-Door Car","2",IF(J1027="Four-Door Car","4",IF(J1027="SUV","4",IF(J1027="Luxury SUV","4",IF(J1027="Sports Car","2","")))))</f>
        <v>4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16"/>
        <v>4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16"/>
        <v>4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16"/>
        <v>2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16"/>
        <v>4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16"/>
        <v>4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16"/>
        <v>4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16"/>
        <v>4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16"/>
        <v>2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16"/>
        <v>4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16"/>
        <v>2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16"/>
        <v>4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16"/>
        <v>4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16"/>
        <v>4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16"/>
        <v>4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16"/>
        <v>4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16"/>
        <v>2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16"/>
        <v>4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16"/>
        <v>4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16"/>
        <v>4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16"/>
        <v>4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16"/>
        <v>4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16"/>
        <v>2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16"/>
        <v>4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16"/>
        <v>2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16"/>
        <v>4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16"/>
        <v>4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16"/>
        <v>4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16"/>
        <v>4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16"/>
        <v>4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16"/>
        <v>4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16"/>
        <v>4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16"/>
        <v>2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16"/>
        <v>4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16"/>
        <v>4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16"/>
        <v>4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16"/>
        <v>4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16"/>
        <v>4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16"/>
        <v>4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16"/>
        <v>2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16"/>
        <v>4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16"/>
        <v>4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16"/>
        <v>4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16"/>
        <v>4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16"/>
        <v>4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16"/>
        <v>2</v>
      </c>
    </row>
  </sheetData>
  <autoFilter ref="A1:L1072" xr:uid="{7B894AF3-E685-482F-9073-A79D7AA754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zoomScale="80" zoomScaleNormal="80" workbookViewId="0">
      <selection activeCell="M1071" sqref="M1071:M1072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7.816406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6.81640625" bestFit="1" customWidth="1"/>
    <col min="11" max="11" width="17.36328125" bestFit="1" customWidth="1"/>
    <col min="12" max="12" width="11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9192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 ca="1">_xlfn.DAYS(TODAY(),L2)</f>
        <v>11273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>
        <f t="shared" ref="M3:M66" ca="1" si="0">_xlfn.DAYS(TODAY(),L3)</f>
        <v>10144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>
        <f t="shared" ca="1" si="0"/>
        <v>10709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 t="shared" ca="1" si="0"/>
        <v>10746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>
        <f t="shared" ca="1" si="0"/>
        <v>11258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>
        <f t="shared" ca="1" si="0"/>
        <v>11116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>
        <f t="shared" ca="1" si="0"/>
        <v>10954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>
        <f t="shared" ca="1" si="0"/>
        <v>10912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>
        <f t="shared" ca="1" si="0"/>
        <v>10764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>
        <f t="shared" ca="1" si="0"/>
        <v>10850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>
        <f t="shared" ca="1" si="0"/>
        <v>10793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>
        <f t="shared" ca="1" si="0"/>
        <v>10747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>
        <f t="shared" ca="1" si="0"/>
        <v>10803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>
        <f t="shared" ca="1" si="0"/>
        <v>10747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>
        <f t="shared" ca="1" si="0"/>
        <v>10968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>
        <f t="shared" ca="1" si="0"/>
        <v>11233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>
        <f t="shared" ca="1" si="0"/>
        <v>10821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>
        <f t="shared" ca="1" si="0"/>
        <v>10628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>
        <f t="shared" ca="1" si="0"/>
        <v>10967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>
        <f t="shared" ca="1" si="0"/>
        <v>10791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>
        <f t="shared" ca="1" si="0"/>
        <v>10920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>
        <f t="shared" ca="1" si="0"/>
        <v>11255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>
        <f t="shared" ca="1" si="0"/>
        <v>10764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>
        <f t="shared" ca="1" si="0"/>
        <v>10721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>
        <f t="shared" ca="1" si="0"/>
        <v>10836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>
        <f t="shared" ca="1" si="0"/>
        <v>10886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>
        <f t="shared" ca="1" si="0"/>
        <v>10476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>
        <f t="shared" ca="1" si="0"/>
        <v>11255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>
        <f t="shared" ca="1" si="0"/>
        <v>10743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>
        <f t="shared" ca="1" si="0"/>
        <v>10891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>
        <f t="shared" ca="1" si="0"/>
        <v>10953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>
        <f t="shared" ca="1" si="0"/>
        <v>10660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>
        <f t="shared" ca="1" si="0"/>
        <v>10967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>
        <f t="shared" ca="1" si="0"/>
        <v>11252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>
        <f t="shared" ca="1" si="0"/>
        <v>11260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>
        <f t="shared" ca="1" si="0"/>
        <v>11071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>
        <f t="shared" ca="1" si="0"/>
        <v>10714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>
        <f t="shared" ca="1" si="0"/>
        <v>10839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>
        <f t="shared" ca="1" si="0"/>
        <v>10627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>
        <f t="shared" ca="1" si="0"/>
        <v>11118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>
        <f t="shared" ca="1" si="0"/>
        <v>10791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>
        <f t="shared" ca="1" si="0"/>
        <v>11257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>
        <f t="shared" ca="1" si="0"/>
        <v>10393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>
        <f t="shared" ca="1" si="0"/>
        <v>10781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>
        <f t="shared" ca="1" si="0"/>
        <v>11244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>
        <f t="shared" ca="1" si="0"/>
        <v>11275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>
        <f t="shared" ca="1" si="0"/>
        <v>10696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>
        <f t="shared" ca="1" si="0"/>
        <v>10828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>
        <f t="shared" ca="1" si="0"/>
        <v>10746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>
        <f t="shared" ca="1" si="0"/>
        <v>10962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>
        <f t="shared" ca="1" si="0"/>
        <v>10682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>
        <f t="shared" ca="1" si="0"/>
        <v>10767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>
        <f t="shared" ca="1" si="0"/>
        <v>11102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>
        <f t="shared" ca="1" si="0"/>
        <v>11242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>
        <f t="shared" ca="1" si="0"/>
        <v>10444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>
        <f t="shared" ca="1" si="0"/>
        <v>10839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>
        <f t="shared" ca="1" si="0"/>
        <v>10973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>
        <f t="shared" ca="1" si="0"/>
        <v>10791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>
        <f t="shared" ca="1" si="0"/>
        <v>10571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>
        <f t="shared" ca="1" si="0"/>
        <v>10757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>
        <f t="shared" ca="1" si="0"/>
        <v>10963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>
        <f t="shared" ca="1" si="0"/>
        <v>10771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>
        <f t="shared" ca="1" si="0"/>
        <v>10412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>
        <f t="shared" ca="1" si="0"/>
        <v>11171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>
        <f t="shared" ca="1" si="0"/>
        <v>10599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>
        <f t="shared" ref="M67:M130" ca="1" si="1">_xlfn.DAYS(TODAY(),L67)</f>
        <v>10925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>
        <f t="shared" ca="1" si="1"/>
        <v>10738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>
        <f t="shared" ca="1" si="1"/>
        <v>10810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>
        <f t="shared" ca="1" si="1"/>
        <v>10819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>
        <f t="shared" ca="1" si="1"/>
        <v>10775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>
        <f t="shared" ca="1" si="1"/>
        <v>10994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>
        <f t="shared" ca="1" si="1"/>
        <v>11270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>
        <f t="shared" ca="1" si="1"/>
        <v>10968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>
        <f t="shared" ca="1" si="1"/>
        <v>10293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>
        <f t="shared" ca="1" si="1"/>
        <v>10808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>
        <f t="shared" ca="1" si="1"/>
        <v>10925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>
        <f t="shared" ca="1" si="1"/>
        <v>11246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>
        <f t="shared" ca="1" si="1"/>
        <v>10954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>
        <f t="shared" ca="1" si="1"/>
        <v>11234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>
        <f t="shared" ca="1" si="1"/>
        <v>10848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>
        <f t="shared" ca="1" si="1"/>
        <v>11250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>
        <f t="shared" ca="1" si="1"/>
        <v>10488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>
        <f t="shared" ca="1" si="1"/>
        <v>10786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>
        <f t="shared" ca="1" si="1"/>
        <v>10973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>
        <f t="shared" ca="1" si="1"/>
        <v>10800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>
        <f t="shared" ca="1" si="1"/>
        <v>11230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>
        <f t="shared" ca="1" si="1"/>
        <v>10815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>
        <f t="shared" ca="1" si="1"/>
        <v>10993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>
        <f t="shared" ca="1" si="1"/>
        <v>10954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>
        <f t="shared" ca="1" si="1"/>
        <v>10911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>
        <f t="shared" ca="1" si="1"/>
        <v>10596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>
        <f t="shared" ca="1" si="1"/>
        <v>11229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>
        <f t="shared" ca="1" si="1"/>
        <v>11264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>
        <f t="shared" ca="1" si="1"/>
        <v>10925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>
        <f t="shared" ca="1" si="1"/>
        <v>10412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>
        <f t="shared" ca="1" si="1"/>
        <v>10783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>
        <f t="shared" ca="1" si="1"/>
        <v>11143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>
        <f t="shared" ca="1" si="1"/>
        <v>10978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>
        <f t="shared" ca="1" si="1"/>
        <v>11006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>
        <f t="shared" ca="1" si="1"/>
        <v>10895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>
        <f t="shared" ca="1" si="1"/>
        <v>10762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>
        <f t="shared" ca="1" si="1"/>
        <v>10850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>
        <f t="shared" ca="1" si="1"/>
        <v>11226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>
        <f t="shared" ca="1" si="1"/>
        <v>10762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>
        <f t="shared" ca="1" si="1"/>
        <v>10339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>
        <f t="shared" ca="1" si="1"/>
        <v>11133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>
        <f t="shared" ca="1" si="1"/>
        <v>11230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>
        <f t="shared" ca="1" si="1"/>
        <v>10714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>
        <f t="shared" ca="1" si="1"/>
        <v>11245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>
        <f t="shared" ca="1" si="1"/>
        <v>11004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>
        <f t="shared" ca="1" si="1"/>
        <v>10867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>
        <f t="shared" ca="1" si="1"/>
        <v>11229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>
        <f t="shared" ca="1" si="1"/>
        <v>10491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>
        <f t="shared" ca="1" si="1"/>
        <v>10959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>
        <f t="shared" ca="1" si="1"/>
        <v>11227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>
        <f t="shared" ca="1" si="1"/>
        <v>10786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>
        <f t="shared" ca="1" si="1"/>
        <v>10637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>
        <f t="shared" ca="1" si="1"/>
        <v>10810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>
        <f t="shared" ca="1" si="1"/>
        <v>10907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>
        <f t="shared" ca="1" si="1"/>
        <v>11039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>
        <f t="shared" ca="1" si="1"/>
        <v>11226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>
        <f t="shared" ca="1" si="1"/>
        <v>11211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>
        <f t="shared" ca="1" si="1"/>
        <v>10949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>
        <f t="shared" ca="1" si="1"/>
        <v>10354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>
        <f t="shared" ca="1" si="1"/>
        <v>11174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>
        <f t="shared" ca="1" si="1"/>
        <v>10733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>
        <f t="shared" ca="1" si="1"/>
        <v>11132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>
        <f t="shared" ca="1" si="1"/>
        <v>10851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>
        <f t="shared" ca="1" si="1"/>
        <v>10959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>
        <f t="shared" ref="M131:M194" ca="1" si="2">_xlfn.DAYS(TODAY(),L131)</f>
        <v>11225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>
        <f t="shared" ca="1" si="2"/>
        <v>10752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>
        <f t="shared" ca="1" si="2"/>
        <v>11162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>
        <f t="shared" ca="1" si="2"/>
        <v>11083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>
        <f t="shared" ca="1" si="2"/>
        <v>10447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>
        <f t="shared" ca="1" si="2"/>
        <v>10743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>
        <f t="shared" ca="1" si="2"/>
        <v>10300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>
        <f t="shared" ca="1" si="2"/>
        <v>11222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>
        <f t="shared" ca="1" si="2"/>
        <v>11225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>
        <f t="shared" ca="1" si="2"/>
        <v>10986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>
        <f t="shared" ca="1" si="2"/>
        <v>10883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>
        <f t="shared" ca="1" si="2"/>
        <v>10554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>
        <f t="shared" ca="1" si="2"/>
        <v>10819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>
        <f t="shared" ca="1" si="2"/>
        <v>10188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>
        <f t="shared" ca="1" si="2"/>
        <v>11224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>
        <f t="shared" ca="1" si="2"/>
        <v>10815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>
        <f t="shared" ca="1" si="2"/>
        <v>11024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>
        <f t="shared" ca="1" si="2"/>
        <v>10930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>
        <f t="shared" ca="1" si="2"/>
        <v>10954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>
        <f t="shared" ca="1" si="2"/>
        <v>11176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>
        <f t="shared" ca="1" si="2"/>
        <v>10771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>
        <f t="shared" ca="1" si="2"/>
        <v>11219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>
        <f t="shared" ca="1" si="2"/>
        <v>11218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>
        <f t="shared" ca="1" si="2"/>
        <v>10671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>
        <f t="shared" ca="1" si="2"/>
        <v>11267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>
        <f t="shared" ca="1" si="2"/>
        <v>10959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>
        <f t="shared" ca="1" si="2"/>
        <v>10963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>
        <f t="shared" ca="1" si="2"/>
        <v>11219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>
        <f t="shared" ca="1" si="2"/>
        <v>10882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>
        <f t="shared" ca="1" si="2"/>
        <v>10574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>
        <f t="shared" ca="1" si="2"/>
        <v>11147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>
        <f t="shared" ca="1" si="2"/>
        <v>10596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>
        <f t="shared" ca="1" si="2"/>
        <v>11216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>
        <f t="shared" ca="1" si="2"/>
        <v>10709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>
        <f t="shared" ca="1" si="2"/>
        <v>11214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>
        <f t="shared" ca="1" si="2"/>
        <v>10721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>
        <f t="shared" ca="1" si="2"/>
        <v>10810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>
        <f t="shared" ca="1" si="2"/>
        <v>10779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>
        <f t="shared" ca="1" si="2"/>
        <v>10983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>
        <f t="shared" ca="1" si="2"/>
        <v>11019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>
        <f t="shared" ca="1" si="2"/>
        <v>10920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>
        <f t="shared" ca="1" si="2"/>
        <v>10733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>
        <f t="shared" ca="1" si="2"/>
        <v>10972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>
        <f t="shared" ca="1" si="2"/>
        <v>11250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>
        <f t="shared" ca="1" si="2"/>
        <v>10983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>
        <f t="shared" ca="1" si="2"/>
        <v>10488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>
        <f t="shared" ca="1" si="2"/>
        <v>11191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>
        <f t="shared" ca="1" si="2"/>
        <v>11214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>
        <f t="shared" ca="1" si="2"/>
        <v>11043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>
        <f t="shared" ca="1" si="2"/>
        <v>11207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>
        <f t="shared" ca="1" si="2"/>
        <v>10565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>
        <f t="shared" ca="1" si="2"/>
        <v>10723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>
        <f t="shared" ca="1" si="2"/>
        <v>10153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>
        <f t="shared" ca="1" si="2"/>
        <v>10867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>
        <f t="shared" ca="1" si="2"/>
        <v>10867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>
        <f t="shared" ca="1" si="2"/>
        <v>10483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>
        <f t="shared" ca="1" si="2"/>
        <v>10743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>
        <f t="shared" ca="1" si="2"/>
        <v>10521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>
        <f t="shared" ca="1" si="2"/>
        <v>10573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>
        <f t="shared" ca="1" si="2"/>
        <v>11069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>
        <f t="shared" ca="1" si="2"/>
        <v>11000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>
        <f t="shared" ca="1" si="2"/>
        <v>10816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>
        <f t="shared" ca="1" si="2"/>
        <v>10779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>
        <f t="shared" ca="1" si="2"/>
        <v>10939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>
        <f t="shared" ref="M195:M258" ca="1" si="3">_xlfn.DAYS(TODAY(),L195)</f>
        <v>10954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>
        <f t="shared" ca="1" si="3"/>
        <v>10973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>
        <f t="shared" ca="1" si="3"/>
        <v>10845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>
        <f t="shared" ca="1" si="3"/>
        <v>9439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>
        <f t="shared" ca="1" si="3"/>
        <v>11208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>
        <f t="shared" ca="1" si="3"/>
        <v>10431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>
        <f t="shared" ca="1" si="3"/>
        <v>10911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>
        <f t="shared" ca="1" si="3"/>
        <v>10553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>
        <f t="shared" ca="1" si="3"/>
        <v>10685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>
        <f t="shared" ca="1" si="3"/>
        <v>10794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>
        <f t="shared" ca="1" si="3"/>
        <v>10151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>
        <f t="shared" ca="1" si="3"/>
        <v>10606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>
        <f t="shared" ca="1" si="3"/>
        <v>9991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>
        <f t="shared" ca="1" si="3"/>
        <v>11035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>
        <f t="shared" ca="1" si="3"/>
        <v>10363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>
        <f t="shared" ca="1" si="3"/>
        <v>10719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>
        <f t="shared" ca="1" si="3"/>
        <v>11160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>
        <f t="shared" ca="1" si="3"/>
        <v>10805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>
        <f t="shared" ca="1" si="3"/>
        <v>10954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>
        <f t="shared" ca="1" si="3"/>
        <v>10892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>
        <f t="shared" ca="1" si="3"/>
        <v>10968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>
        <f t="shared" ca="1" si="3"/>
        <v>10920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>
        <f t="shared" ca="1" si="3"/>
        <v>10755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>
        <f t="shared" ca="1" si="3"/>
        <v>10809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>
        <f t="shared" ca="1" si="3"/>
        <v>10824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>
        <f t="shared" ca="1" si="3"/>
        <v>10738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>
        <f t="shared" ca="1" si="3"/>
        <v>10930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>
        <f t="shared" ca="1" si="3"/>
        <v>10920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>
        <f t="shared" ca="1" si="3"/>
        <v>10944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>
        <f t="shared" ca="1" si="3"/>
        <v>10847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>
        <f t="shared" ca="1" si="3"/>
        <v>10877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>
        <f t="shared" ca="1" si="3"/>
        <v>10781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>
        <f t="shared" ca="1" si="3"/>
        <v>10906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>
        <f t="shared" ca="1" si="3"/>
        <v>10444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>
        <f t="shared" ca="1" si="3"/>
        <v>11119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>
        <f t="shared" ca="1" si="3"/>
        <v>10902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>
        <f t="shared" ca="1" si="3"/>
        <v>10880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>
        <f t="shared" ca="1" si="3"/>
        <v>10925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>
        <f t="shared" ca="1" si="3"/>
        <v>11044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>
        <f t="shared" ca="1" si="3"/>
        <v>10986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>
        <f t="shared" ca="1" si="3"/>
        <v>10546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>
        <f t="shared" ca="1" si="3"/>
        <v>10949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>
        <f t="shared" ca="1" si="3"/>
        <v>10925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>
        <f t="shared" ca="1" si="3"/>
        <v>11170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>
        <f t="shared" ca="1" si="3"/>
        <v>10636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>
        <f t="shared" ca="1" si="3"/>
        <v>10983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>
        <f t="shared" ca="1" si="3"/>
        <v>10892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>
        <f t="shared" ca="1" si="3"/>
        <v>10959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>
        <f t="shared" ca="1" si="3"/>
        <v>11176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>
        <f t="shared" ca="1" si="3"/>
        <v>10968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>
        <f t="shared" ca="1" si="3"/>
        <v>10709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>
        <f t="shared" ca="1" si="3"/>
        <v>10839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>
        <f t="shared" ca="1" si="3"/>
        <v>10863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>
        <f t="shared" ca="1" si="3"/>
        <v>10968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>
        <f t="shared" ca="1" si="3"/>
        <v>10887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>
        <f t="shared" ca="1" si="3"/>
        <v>8930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>
        <f t="shared" ca="1" si="3"/>
        <v>10954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>
        <f t="shared" ca="1" si="3"/>
        <v>10502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>
        <f t="shared" ca="1" si="3"/>
        <v>10851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>
        <f t="shared" ca="1" si="3"/>
        <v>10752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>
        <f t="shared" ca="1" si="3"/>
        <v>10767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>
        <f t="shared" ca="1" si="3"/>
        <v>10911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>
        <f t="shared" ca="1" si="3"/>
        <v>10637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>
        <f t="shared" ca="1" si="3"/>
        <v>10921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>
        <f t="shared" ref="M259:M322" ca="1" si="4">_xlfn.DAYS(TODAY(),L259)</f>
        <v>10992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>
        <f t="shared" ca="1" si="4"/>
        <v>10872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>
        <f t="shared" ca="1" si="4"/>
        <v>11255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>
        <f t="shared" ca="1" si="4"/>
        <v>10890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>
        <f t="shared" ca="1" si="4"/>
        <v>11135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>
        <f t="shared" ca="1" si="4"/>
        <v>10949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>
        <f t="shared" ca="1" si="4"/>
        <v>10954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>
        <f t="shared" ca="1" si="4"/>
        <v>10877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>
        <f t="shared" ca="1" si="4"/>
        <v>11173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>
        <f t="shared" ca="1" si="4"/>
        <v>11219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>
        <f t="shared" ca="1" si="4"/>
        <v>10812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>
        <f t="shared" ca="1" si="4"/>
        <v>11070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>
        <f t="shared" ca="1" si="4"/>
        <v>10534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>
        <f t="shared" ca="1" si="4"/>
        <v>11219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>
        <f t="shared" ca="1" si="4"/>
        <v>10462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>
        <f t="shared" ca="1" si="4"/>
        <v>10781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>
        <f t="shared" ca="1" si="4"/>
        <v>10480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>
        <f t="shared" ca="1" si="4"/>
        <v>10661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>
        <f t="shared" ca="1" si="4"/>
        <v>11203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>
        <f t="shared" ca="1" si="4"/>
        <v>10743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>
        <f t="shared" ca="1" si="4"/>
        <v>11208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>
        <f t="shared" ca="1" si="4"/>
        <v>10873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>
        <f t="shared" ca="1" si="4"/>
        <v>10634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>
        <f t="shared" ca="1" si="4"/>
        <v>10933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>
        <f t="shared" ca="1" si="4"/>
        <v>10944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>
        <f t="shared" ca="1" si="4"/>
        <v>10935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>
        <f t="shared" ca="1" si="4"/>
        <v>10863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>
        <f t="shared" ca="1" si="4"/>
        <v>11202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>
        <f t="shared" ca="1" si="4"/>
        <v>10901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>
        <f t="shared" ca="1" si="4"/>
        <v>10925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>
        <f t="shared" ca="1" si="4"/>
        <v>10930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>
        <f t="shared" ca="1" si="4"/>
        <v>10553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>
        <f t="shared" ca="1" si="4"/>
        <v>11016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>
        <f t="shared" ca="1" si="4"/>
        <v>10738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>
        <f t="shared" ca="1" si="4"/>
        <v>10879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>
        <f t="shared" ca="1" si="4"/>
        <v>10917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>
        <f t="shared" ca="1" si="4"/>
        <v>10622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>
        <f t="shared" ca="1" si="4"/>
        <v>11154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>
        <f t="shared" ca="1" si="4"/>
        <v>11183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>
        <f t="shared" ca="1" si="4"/>
        <v>10747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>
        <f t="shared" ca="1" si="4"/>
        <v>11116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>
        <f t="shared" ca="1" si="4"/>
        <v>10799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>
        <f t="shared" ca="1" si="4"/>
        <v>10548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>
        <f t="shared" ca="1" si="4"/>
        <v>10954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>
        <f t="shared" ca="1" si="4"/>
        <v>11233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>
        <f t="shared" ca="1" si="4"/>
        <v>10714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>
        <f t="shared" ca="1" si="4"/>
        <v>11075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>
        <f t="shared" ca="1" si="4"/>
        <v>10599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>
        <f t="shared" ca="1" si="4"/>
        <v>11199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>
        <f t="shared" ca="1" si="4"/>
        <v>10445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>
        <f t="shared" ca="1" si="4"/>
        <v>10695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>
        <f t="shared" ca="1" si="4"/>
        <v>11215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>
        <f t="shared" ca="1" si="4"/>
        <v>10954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>
        <f t="shared" ca="1" si="4"/>
        <v>11228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>
        <f t="shared" ca="1" si="4"/>
        <v>10972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>
        <f t="shared" ca="1" si="4"/>
        <v>11175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>
        <f t="shared" ca="1" si="4"/>
        <v>10794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>
        <f t="shared" ca="1" si="4"/>
        <v>10767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>
        <f t="shared" ca="1" si="4"/>
        <v>10174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>
        <f t="shared" ca="1" si="4"/>
        <v>11189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>
        <f t="shared" ca="1" si="4"/>
        <v>10805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>
        <f t="shared" ca="1" si="4"/>
        <v>10608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>
        <f t="shared" ca="1" si="4"/>
        <v>11219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>
        <f t="shared" ca="1" si="4"/>
        <v>11013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>
        <f t="shared" ref="M323:M386" ca="1" si="5">_xlfn.DAYS(TODAY(),L323)</f>
        <v>10966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>
        <f t="shared" ca="1" si="5"/>
        <v>10925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>
        <f t="shared" ca="1" si="5"/>
        <v>10910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>
        <f t="shared" ca="1" si="5"/>
        <v>10891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>
        <f t="shared" ca="1" si="5"/>
        <v>10786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>
        <f t="shared" ca="1" si="5"/>
        <v>10570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>
        <f t="shared" ca="1" si="5"/>
        <v>11266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>
        <f t="shared" ca="1" si="5"/>
        <v>11031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>
        <f t="shared" ca="1" si="5"/>
        <v>10636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>
        <f t="shared" ca="1" si="5"/>
        <v>10822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>
        <f t="shared" ca="1" si="5"/>
        <v>10743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>
        <f t="shared" ca="1" si="5"/>
        <v>10764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>
        <f t="shared" ca="1" si="5"/>
        <v>10721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>
        <f t="shared" ca="1" si="5"/>
        <v>10939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>
        <f t="shared" ca="1" si="5"/>
        <v>10873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>
        <f t="shared" ca="1" si="5"/>
        <v>10948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>
        <f t="shared" ca="1" si="5"/>
        <v>11270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>
        <f t="shared" ca="1" si="5"/>
        <v>11144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>
        <f t="shared" ca="1" si="5"/>
        <v>11176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>
        <f t="shared" ca="1" si="5"/>
        <v>10419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>
        <f t="shared" ca="1" si="5"/>
        <v>10536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>
        <f t="shared" ca="1" si="5"/>
        <v>10757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>
        <f t="shared" ca="1" si="5"/>
        <v>10983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>
        <f t="shared" ca="1" si="5"/>
        <v>10935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>
        <f t="shared" ca="1" si="5"/>
        <v>10925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>
        <f t="shared" ca="1" si="5"/>
        <v>10935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>
        <f t="shared" ca="1" si="5"/>
        <v>11191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>
        <f t="shared" ca="1" si="5"/>
        <v>11211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>
        <f t="shared" ca="1" si="5"/>
        <v>10834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>
        <f t="shared" ca="1" si="5"/>
        <v>11238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>
        <f t="shared" ca="1" si="5"/>
        <v>11073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>
        <f t="shared" ca="1" si="5"/>
        <v>10930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>
        <f t="shared" ca="1" si="5"/>
        <v>11190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>
        <f t="shared" ca="1" si="5"/>
        <v>11184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>
        <f t="shared" ca="1" si="5"/>
        <v>10920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>
        <f t="shared" ca="1" si="5"/>
        <v>10989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>
        <f t="shared" ca="1" si="5"/>
        <v>10116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>
        <f t="shared" ca="1" si="5"/>
        <v>10959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>
        <f t="shared" ca="1" si="5"/>
        <v>10809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>
        <f t="shared" ca="1" si="5"/>
        <v>10944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>
        <f t="shared" ca="1" si="5"/>
        <v>10911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>
        <f t="shared" ca="1" si="5"/>
        <v>10023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>
        <f t="shared" ca="1" si="5"/>
        <v>10944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>
        <f t="shared" ca="1" si="5"/>
        <v>10963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>
        <f t="shared" ca="1" si="5"/>
        <v>10854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>
        <f t="shared" ca="1" si="5"/>
        <v>10845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>
        <f t="shared" ca="1" si="5"/>
        <v>10877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>
        <f t="shared" ca="1" si="5"/>
        <v>11268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>
        <f t="shared" ca="1" si="5"/>
        <v>11220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>
        <f t="shared" ca="1" si="5"/>
        <v>10924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>
        <f t="shared" ca="1" si="5"/>
        <v>10469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>
        <f t="shared" ca="1" si="5"/>
        <v>10628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>
        <f t="shared" ca="1" si="5"/>
        <v>10767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>
        <f t="shared" ca="1" si="5"/>
        <v>11147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>
        <f t="shared" ca="1" si="5"/>
        <v>10973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>
        <f t="shared" ca="1" si="5"/>
        <v>10795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>
        <f t="shared" ca="1" si="5"/>
        <v>10272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>
        <f t="shared" ca="1" si="5"/>
        <v>10757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>
        <f t="shared" ca="1" si="5"/>
        <v>10896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>
        <f t="shared" ca="1" si="5"/>
        <v>11031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>
        <f t="shared" ca="1" si="5"/>
        <v>11074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>
        <f t="shared" ca="1" si="5"/>
        <v>11184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>
        <f t="shared" ca="1" si="5"/>
        <v>10723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>
        <f t="shared" ca="1" si="5"/>
        <v>11184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>
        <f t="shared" ref="M387:M450" ca="1" si="6">_xlfn.DAYS(TODAY(),L387)</f>
        <v>10568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>
        <f t="shared" ca="1" si="6"/>
        <v>11183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>
        <f t="shared" ca="1" si="6"/>
        <v>10899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>
        <f t="shared" ca="1" si="6"/>
        <v>10574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>
        <f t="shared" ca="1" si="6"/>
        <v>11123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>
        <f t="shared" ca="1" si="6"/>
        <v>11099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>
        <f t="shared" ca="1" si="6"/>
        <v>11171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>
        <f t="shared" ca="1" si="6"/>
        <v>10334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>
        <f t="shared" ca="1" si="6"/>
        <v>10807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>
        <f t="shared" ca="1" si="6"/>
        <v>11181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>
        <f t="shared" ca="1" si="6"/>
        <v>10815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>
        <f t="shared" ca="1" si="6"/>
        <v>11208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>
        <f t="shared" ca="1" si="6"/>
        <v>10736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>
        <f t="shared" ca="1" si="6"/>
        <v>10719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>
        <f t="shared" ca="1" si="6"/>
        <v>10925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>
        <f t="shared" ca="1" si="6"/>
        <v>11180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>
        <f t="shared" ca="1" si="6"/>
        <v>11180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>
        <f t="shared" ca="1" si="6"/>
        <v>10649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>
        <f t="shared" ca="1" si="6"/>
        <v>10954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>
        <f t="shared" ca="1" si="6"/>
        <v>10781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>
        <f t="shared" ca="1" si="6"/>
        <v>11160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>
        <f t="shared" ca="1" si="6"/>
        <v>11256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>
        <f t="shared" ca="1" si="6"/>
        <v>10476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>
        <f t="shared" ca="1" si="6"/>
        <v>10752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>
        <f t="shared" ca="1" si="6"/>
        <v>10397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>
        <f t="shared" ca="1" si="6"/>
        <v>10831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>
        <f t="shared" ca="1" si="6"/>
        <v>11007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>
        <f t="shared" ca="1" si="6"/>
        <v>10944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>
        <f t="shared" ca="1" si="6"/>
        <v>10978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>
        <f t="shared" ca="1" si="6"/>
        <v>10863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>
        <f t="shared" ca="1" si="6"/>
        <v>10469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>
        <f t="shared" ca="1" si="6"/>
        <v>11174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>
        <f t="shared" ca="1" si="6"/>
        <v>10743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>
        <f t="shared" ca="1" si="6"/>
        <v>9958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>
        <f t="shared" ca="1" si="6"/>
        <v>10584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>
        <f t="shared" ca="1" si="6"/>
        <v>10471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>
        <f t="shared" ca="1" si="6"/>
        <v>10978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>
        <f t="shared" ca="1" si="6"/>
        <v>10185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>
        <f t="shared" ca="1" si="6"/>
        <v>11225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>
        <f t="shared" ca="1" si="6"/>
        <v>10738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>
        <f t="shared" ca="1" si="6"/>
        <v>11124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>
        <f t="shared" ca="1" si="6"/>
        <v>10928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>
        <f t="shared" ca="1" si="6"/>
        <v>11004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>
        <f t="shared" ca="1" si="6"/>
        <v>10637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>
        <f t="shared" ca="1" si="6"/>
        <v>10426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>
        <f t="shared" ca="1" si="6"/>
        <v>11165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>
        <f t="shared" ca="1" si="6"/>
        <v>11162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>
        <f t="shared" ca="1" si="6"/>
        <v>10747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>
        <f t="shared" ca="1" si="6"/>
        <v>10680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>
        <f t="shared" ca="1" si="6"/>
        <v>11162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>
        <f t="shared" ca="1" si="6"/>
        <v>9938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>
        <f t="shared" ca="1" si="6"/>
        <v>11161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>
        <f t="shared" ca="1" si="6"/>
        <v>11150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>
        <f t="shared" ca="1" si="6"/>
        <v>11040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>
        <f t="shared" ca="1" si="6"/>
        <v>10880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>
        <f t="shared" ca="1" si="6"/>
        <v>11161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>
        <f t="shared" ca="1" si="6"/>
        <v>10503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>
        <f t="shared" ca="1" si="6"/>
        <v>10642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>
        <f t="shared" ca="1" si="6"/>
        <v>10925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>
        <f t="shared" ca="1" si="6"/>
        <v>11107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>
        <f t="shared" ca="1" si="6"/>
        <v>10968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>
        <f t="shared" ca="1" si="6"/>
        <v>10642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>
        <f t="shared" ca="1" si="6"/>
        <v>10771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>
        <f t="shared" ca="1" si="6"/>
        <v>10430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>
        <f t="shared" ref="M451:M514" ca="1" si="7">_xlfn.DAYS(TODAY(),L451)</f>
        <v>11160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>
        <f t="shared" ca="1" si="7"/>
        <v>10607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>
        <f t="shared" ca="1" si="7"/>
        <v>10575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>
        <f t="shared" ca="1" si="7"/>
        <v>10750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>
        <f t="shared" ca="1" si="7"/>
        <v>11250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>
        <f t="shared" ca="1" si="7"/>
        <v>10900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>
        <f t="shared" ca="1" si="7"/>
        <v>10857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>
        <f t="shared" ca="1" si="7"/>
        <v>10877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>
        <f t="shared" ca="1" si="7"/>
        <v>10337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>
        <f t="shared" ca="1" si="7"/>
        <v>10937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>
        <f t="shared" ca="1" si="7"/>
        <v>10936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>
        <f t="shared" ca="1" si="7"/>
        <v>10973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>
        <f t="shared" ca="1" si="7"/>
        <v>10656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>
        <f t="shared" ca="1" si="7"/>
        <v>10949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>
        <f t="shared" ca="1" si="7"/>
        <v>11016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>
        <f t="shared" ca="1" si="7"/>
        <v>10939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>
        <f t="shared" ca="1" si="7"/>
        <v>10911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>
        <f t="shared" ca="1" si="7"/>
        <v>11096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>
        <f t="shared" ca="1" si="7"/>
        <v>10613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>
        <f t="shared" ca="1" si="7"/>
        <v>11200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>
        <f t="shared" ca="1" si="7"/>
        <v>10969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>
        <f t="shared" ca="1" si="7"/>
        <v>11191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>
        <f t="shared" ca="1" si="7"/>
        <v>11136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>
        <f t="shared" ca="1" si="7"/>
        <v>10668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>
        <f t="shared" ca="1" si="7"/>
        <v>10644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>
        <f t="shared" ca="1" si="7"/>
        <v>10647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>
        <f t="shared" ca="1" si="7"/>
        <v>10939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>
        <f t="shared" ca="1" si="7"/>
        <v>10849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>
        <f t="shared" ca="1" si="7"/>
        <v>11184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>
        <f t="shared" ca="1" si="7"/>
        <v>10958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>
        <f t="shared" ca="1" si="7"/>
        <v>11157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>
        <f t="shared" ca="1" si="7"/>
        <v>11189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>
        <f t="shared" ca="1" si="7"/>
        <v>11157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>
        <f t="shared" ca="1" si="7"/>
        <v>10954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>
        <f t="shared" ca="1" si="7"/>
        <v>10913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>
        <f t="shared" ca="1" si="7"/>
        <v>11054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>
        <f t="shared" ca="1" si="7"/>
        <v>10295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>
        <f t="shared" ca="1" si="7"/>
        <v>10661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>
        <f t="shared" ca="1" si="7"/>
        <v>10613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>
        <f t="shared" ca="1" si="7"/>
        <v>10944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>
        <f t="shared" ca="1" si="7"/>
        <v>11130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>
        <f t="shared" ca="1" si="7"/>
        <v>10901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>
        <f t="shared" ca="1" si="7"/>
        <v>10920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>
        <f t="shared" ca="1" si="7"/>
        <v>10747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>
        <f t="shared" ca="1" si="7"/>
        <v>10656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>
        <f t="shared" ca="1" si="7"/>
        <v>11195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>
        <f t="shared" ca="1" si="7"/>
        <v>10714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>
        <f t="shared" ca="1" si="7"/>
        <v>9951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>
        <f t="shared" ca="1" si="7"/>
        <v>10771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>
        <f t="shared" ca="1" si="7"/>
        <v>10815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>
        <f t="shared" ca="1" si="7"/>
        <v>10807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>
        <f t="shared" ca="1" si="7"/>
        <v>10433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>
        <f t="shared" ca="1" si="7"/>
        <v>10800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>
        <f t="shared" ca="1" si="7"/>
        <v>10104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>
        <f t="shared" ca="1" si="7"/>
        <v>11007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>
        <f t="shared" ca="1" si="7"/>
        <v>10781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>
        <f t="shared" ca="1" si="7"/>
        <v>10800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>
        <f t="shared" ca="1" si="7"/>
        <v>11137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>
        <f t="shared" ca="1" si="7"/>
        <v>10930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>
        <f t="shared" ca="1" si="7"/>
        <v>10808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>
        <f t="shared" ca="1" si="7"/>
        <v>10808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>
        <f t="shared" ca="1" si="7"/>
        <v>10061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>
        <f t="shared" ca="1" si="7"/>
        <v>10608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>
        <f t="shared" ca="1" si="7"/>
        <v>11083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>
        <f t="shared" ref="M515:M578" ca="1" si="8">_xlfn.DAYS(TODAY(),L515)</f>
        <v>10656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>
        <f t="shared" ca="1" si="8"/>
        <v>10273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>
        <f t="shared" ca="1" si="8"/>
        <v>10954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>
        <f t="shared" ca="1" si="8"/>
        <v>10891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>
        <f t="shared" ca="1" si="8"/>
        <v>11024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>
        <f t="shared" ca="1" si="8"/>
        <v>10409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>
        <f t="shared" ca="1" si="8"/>
        <v>10065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>
        <f t="shared" ca="1" si="8"/>
        <v>10676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>
        <f t="shared" ca="1" si="8"/>
        <v>10488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>
        <f t="shared" ca="1" si="8"/>
        <v>9248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>
        <f t="shared" ca="1" si="8"/>
        <v>10656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>
        <f t="shared" ca="1" si="8"/>
        <v>11203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>
        <f t="shared" ca="1" si="8"/>
        <v>10826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>
        <f t="shared" ca="1" si="8"/>
        <v>10973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>
        <f t="shared" ca="1" si="8"/>
        <v>10959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>
        <f t="shared" ca="1" si="8"/>
        <v>10786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>
        <f t="shared" ca="1" si="8"/>
        <v>11219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>
        <f t="shared" ca="1" si="8"/>
        <v>11016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>
        <f t="shared" ca="1" si="8"/>
        <v>10819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>
        <f t="shared" ca="1" si="8"/>
        <v>10911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>
        <f t="shared" ca="1" si="8"/>
        <v>10805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>
        <f t="shared" ca="1" si="8"/>
        <v>10976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>
        <f t="shared" ca="1" si="8"/>
        <v>10576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>
        <f t="shared" ca="1" si="8"/>
        <v>11158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>
        <f t="shared" ca="1" si="8"/>
        <v>10730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>
        <f t="shared" ca="1" si="8"/>
        <v>10925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>
        <f t="shared" ca="1" si="8"/>
        <v>10947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>
        <f t="shared" ca="1" si="8"/>
        <v>11209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>
        <f t="shared" ca="1" si="8"/>
        <v>9893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>
        <f t="shared" ca="1" si="8"/>
        <v>11154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>
        <f t="shared" ca="1" si="8"/>
        <v>10666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>
        <f t="shared" ca="1" si="8"/>
        <v>10733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>
        <f t="shared" ca="1" si="8"/>
        <v>10743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>
        <f t="shared" ca="1" si="8"/>
        <v>11150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>
        <f t="shared" ca="1" si="8"/>
        <v>10620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>
        <f t="shared" ca="1" si="8"/>
        <v>10963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>
        <f t="shared" ca="1" si="8"/>
        <v>10930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>
        <f t="shared" ca="1" si="8"/>
        <v>10602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>
        <f t="shared" ca="1" si="8"/>
        <v>10656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>
        <f t="shared" ca="1" si="8"/>
        <v>10762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>
        <f t="shared" ca="1" si="8"/>
        <v>11252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>
        <f t="shared" ca="1" si="8"/>
        <v>10824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>
        <f t="shared" ca="1" si="8"/>
        <v>10925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>
        <f t="shared" ca="1" si="8"/>
        <v>10968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>
        <f t="shared" ca="1" si="8"/>
        <v>10867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>
        <f t="shared" ca="1" si="8"/>
        <v>11044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>
        <f t="shared" ca="1" si="8"/>
        <v>10503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>
        <f t="shared" ca="1" si="8"/>
        <v>10611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>
        <f t="shared" ca="1" si="8"/>
        <v>11147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>
        <f t="shared" ca="1" si="8"/>
        <v>11229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>
        <f t="shared" ca="1" si="8"/>
        <v>10843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>
        <f t="shared" ca="1" si="8"/>
        <v>11197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>
        <f t="shared" ca="1" si="8"/>
        <v>10711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>
        <f t="shared" ca="1" si="8"/>
        <v>10536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>
        <f t="shared" ca="1" si="8"/>
        <v>10483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>
        <f t="shared" ca="1" si="8"/>
        <v>10986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>
        <f t="shared" ca="1" si="8"/>
        <v>11120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>
        <f t="shared" ca="1" si="8"/>
        <v>10973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>
        <f t="shared" ca="1" si="8"/>
        <v>10949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>
        <f t="shared" ca="1" si="8"/>
        <v>10622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>
        <f t="shared" ca="1" si="8"/>
        <v>11172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>
        <f t="shared" ca="1" si="8"/>
        <v>10466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>
        <f t="shared" ca="1" si="8"/>
        <v>10954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>
        <f t="shared" ca="1" si="8"/>
        <v>10747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>
        <f t="shared" ref="M579:M642" ca="1" si="9">_xlfn.DAYS(TODAY(),L579)</f>
        <v>10963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>
        <f t="shared" ca="1" si="9"/>
        <v>10695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>
        <f t="shared" ca="1" si="9"/>
        <v>11142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>
        <f t="shared" ca="1" si="9"/>
        <v>11037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>
        <f t="shared" ca="1" si="9"/>
        <v>9698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>
        <f t="shared" ca="1" si="9"/>
        <v>11140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>
        <f t="shared" ca="1" si="9"/>
        <v>11140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>
        <f t="shared" ca="1" si="9"/>
        <v>10704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>
        <f t="shared" ca="1" si="9"/>
        <v>10944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>
        <f t="shared" ca="1" si="9"/>
        <v>10709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>
        <f t="shared" ca="1" si="9"/>
        <v>10978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>
        <f t="shared" ca="1" si="9"/>
        <v>10963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>
        <f t="shared" ca="1" si="9"/>
        <v>10638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>
        <f t="shared" ca="1" si="9"/>
        <v>10738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>
        <f t="shared" ca="1" si="9"/>
        <v>10815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>
        <f t="shared" ca="1" si="9"/>
        <v>11200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>
        <f t="shared" ca="1" si="9"/>
        <v>10476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>
        <f t="shared" ca="1" si="9"/>
        <v>11139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>
        <f t="shared" ca="1" si="9"/>
        <v>11208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>
        <f t="shared" ca="1" si="9"/>
        <v>10963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>
        <f t="shared" ca="1" si="9"/>
        <v>11109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>
        <f t="shared" ca="1" si="9"/>
        <v>10709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>
        <f t="shared" ca="1" si="9"/>
        <v>11140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>
        <f t="shared" ca="1" si="9"/>
        <v>11258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>
        <f t="shared" ca="1" si="9"/>
        <v>11274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>
        <f t="shared" ca="1" si="9"/>
        <v>11078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>
        <f t="shared" ca="1" si="9"/>
        <v>10663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>
        <f t="shared" ca="1" si="9"/>
        <v>10944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>
        <f t="shared" ca="1" si="9"/>
        <v>10959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>
        <f t="shared" ca="1" si="9"/>
        <v>10082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>
        <f t="shared" ca="1" si="9"/>
        <v>10675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>
        <f t="shared" ca="1" si="9"/>
        <v>11139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>
        <f t="shared" ca="1" si="9"/>
        <v>10349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>
        <f t="shared" ca="1" si="9"/>
        <v>10883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>
        <f t="shared" ca="1" si="9"/>
        <v>11060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>
        <f t="shared" ca="1" si="9"/>
        <v>11115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>
        <f t="shared" ca="1" si="9"/>
        <v>10904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>
        <f t="shared" ca="1" si="9"/>
        <v>10963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>
        <f t="shared" ca="1" si="9"/>
        <v>10832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>
        <f t="shared" ca="1" si="9"/>
        <v>10663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>
        <f t="shared" ca="1" si="9"/>
        <v>10985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>
        <f t="shared" ca="1" si="9"/>
        <v>10959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>
        <f t="shared" ca="1" si="9"/>
        <v>10870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>
        <f t="shared" ca="1" si="9"/>
        <v>11067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>
        <f t="shared" ca="1" si="9"/>
        <v>11137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>
        <f t="shared" ca="1" si="9"/>
        <v>10974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>
        <f t="shared" ca="1" si="9"/>
        <v>10819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>
        <f t="shared" ca="1" si="9"/>
        <v>11123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>
        <f t="shared" ca="1" si="9"/>
        <v>10784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>
        <f t="shared" ca="1" si="9"/>
        <v>11227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>
        <f t="shared" ca="1" si="9"/>
        <v>10845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>
        <f t="shared" ca="1" si="9"/>
        <v>10642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>
        <f t="shared" ca="1" si="9"/>
        <v>10925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>
        <f t="shared" ca="1" si="9"/>
        <v>11029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>
        <f t="shared" ca="1" si="9"/>
        <v>11147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>
        <f t="shared" ca="1" si="9"/>
        <v>11090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>
        <f t="shared" ca="1" si="9"/>
        <v>9975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>
        <f t="shared" ca="1" si="9"/>
        <v>11266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>
        <f t="shared" ca="1" si="9"/>
        <v>11142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>
        <f t="shared" ca="1" si="9"/>
        <v>11134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>
        <f t="shared" ca="1" si="9"/>
        <v>10954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>
        <f t="shared" ca="1" si="9"/>
        <v>10652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>
        <f t="shared" ca="1" si="9"/>
        <v>10848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>
        <f t="shared" ca="1" si="9"/>
        <v>11134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>
        <f t="shared" ref="M643:M706" ca="1" si="10">_xlfn.DAYS(TODAY(),L643)</f>
        <v>10954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>
        <f t="shared" ca="1" si="10"/>
        <v>10781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>
        <f t="shared" ca="1" si="10"/>
        <v>11064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>
        <f t="shared" ca="1" si="10"/>
        <v>11128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>
        <f t="shared" ca="1" si="10"/>
        <v>10413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>
        <f t="shared" ca="1" si="10"/>
        <v>10762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>
        <f t="shared" ca="1" si="10"/>
        <v>11162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>
        <f t="shared" ca="1" si="10"/>
        <v>10738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>
        <f t="shared" ca="1" si="10"/>
        <v>10332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>
        <f t="shared" ca="1" si="10"/>
        <v>11158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>
        <f t="shared" ca="1" si="10"/>
        <v>11050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>
        <f t="shared" ca="1" si="10"/>
        <v>10819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>
        <f t="shared" ca="1" si="10"/>
        <v>11093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>
        <f t="shared" ca="1" si="10"/>
        <v>11127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>
        <f t="shared" ca="1" si="10"/>
        <v>10750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>
        <f t="shared" ca="1" si="10"/>
        <v>11120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>
        <f t="shared" ca="1" si="10"/>
        <v>11119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>
        <f t="shared" ca="1" si="10"/>
        <v>11063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>
        <f t="shared" ca="1" si="10"/>
        <v>10978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>
        <f t="shared" ca="1" si="10"/>
        <v>11101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>
        <f t="shared" ca="1" si="10"/>
        <v>11119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>
        <f t="shared" ca="1" si="10"/>
        <v>10789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>
        <f t="shared" ca="1" si="10"/>
        <v>10930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>
        <f t="shared" ca="1" si="10"/>
        <v>11274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>
        <f t="shared" ca="1" si="10"/>
        <v>10757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>
        <f t="shared" ca="1" si="10"/>
        <v>10949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>
        <f t="shared" ca="1" si="10"/>
        <v>11013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>
        <f t="shared" ca="1" si="10"/>
        <v>10354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>
        <f t="shared" ca="1" si="10"/>
        <v>10734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>
        <f t="shared" ca="1" si="10"/>
        <v>10949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>
        <f t="shared" ca="1" si="10"/>
        <v>10948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>
        <f t="shared" ca="1" si="10"/>
        <v>10819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>
        <f t="shared" ca="1" si="10"/>
        <v>10010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>
        <f t="shared" ca="1" si="10"/>
        <v>11212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>
        <f t="shared" ca="1" si="10"/>
        <v>10939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>
        <f t="shared" ca="1" si="10"/>
        <v>11260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>
        <f t="shared" ca="1" si="10"/>
        <v>10834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>
        <f t="shared" ca="1" si="10"/>
        <v>10900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>
        <f t="shared" ca="1" si="10"/>
        <v>10911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>
        <f t="shared" ca="1" si="10"/>
        <v>10920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>
        <f t="shared" ca="1" si="10"/>
        <v>10823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>
        <f t="shared" ca="1" si="10"/>
        <v>11162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>
        <f t="shared" ca="1" si="10"/>
        <v>10795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>
        <f t="shared" ca="1" si="10"/>
        <v>11259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>
        <f t="shared" ca="1" si="10"/>
        <v>10660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>
        <f t="shared" ca="1" si="10"/>
        <v>10660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>
        <f t="shared" ca="1" si="10"/>
        <v>10763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>
        <f t="shared" ca="1" si="10"/>
        <v>11201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>
        <f t="shared" ca="1" si="10"/>
        <v>10849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>
        <f t="shared" ca="1" si="10"/>
        <v>11106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>
        <f t="shared" ca="1" si="10"/>
        <v>10856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>
        <f t="shared" ca="1" si="10"/>
        <v>11074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>
        <f t="shared" ca="1" si="10"/>
        <v>11117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>
        <f t="shared" ca="1" si="10"/>
        <v>10781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>
        <f t="shared" ca="1" si="10"/>
        <v>10781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>
        <f t="shared" ca="1" si="10"/>
        <v>10949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>
        <f t="shared" ca="1" si="10"/>
        <v>10606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>
        <f t="shared" ca="1" si="10"/>
        <v>10880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>
        <f t="shared" ca="1" si="10"/>
        <v>11116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>
        <f t="shared" ca="1" si="10"/>
        <v>11217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>
        <f t="shared" ca="1" si="10"/>
        <v>10973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>
        <f t="shared" ca="1" si="10"/>
        <v>10959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>
        <f t="shared" ca="1" si="10"/>
        <v>11267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>
        <f t="shared" ca="1" si="10"/>
        <v>10990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>
        <f t="shared" ref="M707:M770" ca="1" si="11">_xlfn.DAYS(TODAY(),L707)</f>
        <v>10709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>
        <f t="shared" ca="1" si="11"/>
        <v>10865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>
        <f t="shared" ca="1" si="11"/>
        <v>11031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>
        <f t="shared" ca="1" si="11"/>
        <v>11057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>
        <f t="shared" ca="1" si="11"/>
        <v>10632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>
        <f t="shared" ca="1" si="11"/>
        <v>10939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>
        <f t="shared" ca="1" si="11"/>
        <v>10963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>
        <f t="shared" ca="1" si="11"/>
        <v>10778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>
        <f t="shared" ca="1" si="11"/>
        <v>10253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>
        <f t="shared" ca="1" si="11"/>
        <v>10618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>
        <f t="shared" ca="1" si="11"/>
        <v>11045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>
        <f t="shared" ca="1" si="11"/>
        <v>11270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>
        <f t="shared" ca="1" si="11"/>
        <v>10983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>
        <f t="shared" ca="1" si="11"/>
        <v>10661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>
        <f t="shared" ca="1" si="11"/>
        <v>11115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>
        <f t="shared" ca="1" si="11"/>
        <v>10608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>
        <f t="shared" ca="1" si="11"/>
        <v>11241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>
        <f t="shared" ca="1" si="11"/>
        <v>10597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>
        <f t="shared" ca="1" si="11"/>
        <v>10764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>
        <f t="shared" ca="1" si="11"/>
        <v>10750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>
        <f t="shared" ca="1" si="11"/>
        <v>10983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>
        <f t="shared" ca="1" si="11"/>
        <v>10983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>
        <f t="shared" ca="1" si="11"/>
        <v>11101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>
        <f t="shared" ca="1" si="11"/>
        <v>11116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>
        <f t="shared" ca="1" si="11"/>
        <v>10577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>
        <f t="shared" ca="1" si="11"/>
        <v>11043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>
        <f t="shared" ca="1" si="11"/>
        <v>11112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>
        <f t="shared" ca="1" si="11"/>
        <v>11196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>
        <f t="shared" ca="1" si="11"/>
        <v>10882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>
        <f t="shared" ca="1" si="11"/>
        <v>10893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>
        <f t="shared" ca="1" si="11"/>
        <v>11227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>
        <f t="shared" ca="1" si="11"/>
        <v>11142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>
        <f t="shared" ca="1" si="11"/>
        <v>10747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>
        <f t="shared" ca="1" si="11"/>
        <v>10714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>
        <f t="shared" ca="1" si="11"/>
        <v>10959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>
        <f t="shared" ca="1" si="11"/>
        <v>10830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>
        <f t="shared" ca="1" si="11"/>
        <v>11110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>
        <f t="shared" ca="1" si="11"/>
        <v>10868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>
        <f t="shared" ca="1" si="11"/>
        <v>10431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>
        <f t="shared" ca="1" si="11"/>
        <v>10930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>
        <f t="shared" ca="1" si="11"/>
        <v>10935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>
        <f t="shared" ca="1" si="11"/>
        <v>11169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>
        <f t="shared" ca="1" si="11"/>
        <v>10649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>
        <f t="shared" ca="1" si="11"/>
        <v>11219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>
        <f t="shared" ca="1" si="11"/>
        <v>10491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>
        <f t="shared" ca="1" si="11"/>
        <v>10834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>
        <f t="shared" ca="1" si="11"/>
        <v>10728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>
        <f t="shared" ca="1" si="11"/>
        <v>11189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>
        <f t="shared" ca="1" si="11"/>
        <v>10877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>
        <f t="shared" ca="1" si="11"/>
        <v>11212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>
        <f t="shared" ca="1" si="11"/>
        <v>9975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>
        <f t="shared" ca="1" si="11"/>
        <v>11155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>
        <f t="shared" ca="1" si="11"/>
        <v>10021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>
        <f t="shared" ca="1" si="11"/>
        <v>10959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>
        <f t="shared" ca="1" si="11"/>
        <v>10858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>
        <f t="shared" ca="1" si="11"/>
        <v>10477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>
        <f t="shared" ca="1" si="11"/>
        <v>11193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>
        <f t="shared" ca="1" si="11"/>
        <v>11253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>
        <f t="shared" ca="1" si="11"/>
        <v>10973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>
        <f t="shared" ca="1" si="11"/>
        <v>10853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>
        <f t="shared" ca="1" si="11"/>
        <v>10959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>
        <f t="shared" ca="1" si="11"/>
        <v>10636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>
        <f t="shared" ca="1" si="11"/>
        <v>10786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>
        <f t="shared" ca="1" si="11"/>
        <v>10963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>
        <f t="shared" ref="M771:M834" ca="1" si="12">_xlfn.DAYS(TODAY(),L771)</f>
        <v>10807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>
        <f t="shared" ca="1" si="12"/>
        <v>10764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>
        <f t="shared" ca="1" si="12"/>
        <v>10781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>
        <f t="shared" ca="1" si="12"/>
        <v>11036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>
        <f t="shared" ca="1" si="12"/>
        <v>10757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>
        <f t="shared" ca="1" si="12"/>
        <v>10560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>
        <f t="shared" ca="1" si="12"/>
        <v>10349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>
        <f t="shared" ca="1" si="12"/>
        <v>11119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>
        <f t="shared" ca="1" si="12"/>
        <v>10873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>
        <f t="shared" ca="1" si="12"/>
        <v>11181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>
        <f t="shared" ca="1" si="12"/>
        <v>10819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>
        <f t="shared" ca="1" si="12"/>
        <v>10752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>
        <f t="shared" ca="1" si="12"/>
        <v>10704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>
        <f t="shared" ca="1" si="12"/>
        <v>10762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>
        <f t="shared" ca="1" si="12"/>
        <v>10771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>
        <f t="shared" ca="1" si="12"/>
        <v>10303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>
        <f t="shared" ca="1" si="12"/>
        <v>11202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>
        <f t="shared" ca="1" si="12"/>
        <v>10935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>
        <f t="shared" ca="1" si="12"/>
        <v>10701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>
        <f t="shared" ca="1" si="12"/>
        <v>10643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>
        <f t="shared" ca="1" si="12"/>
        <v>10920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>
        <f t="shared" ca="1" si="12"/>
        <v>11271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>
        <f t="shared" ca="1" si="12"/>
        <v>11233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>
        <f t="shared" ca="1" si="12"/>
        <v>10536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>
        <f t="shared" ca="1" si="12"/>
        <v>11248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>
        <f t="shared" ca="1" si="12"/>
        <v>11005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>
        <f t="shared" ca="1" si="12"/>
        <v>10983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>
        <f t="shared" ca="1" si="12"/>
        <v>10781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>
        <f t="shared" ca="1" si="12"/>
        <v>11133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>
        <f t="shared" ca="1" si="12"/>
        <v>10850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>
        <f t="shared" ca="1" si="12"/>
        <v>10963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>
        <f t="shared" ca="1" si="12"/>
        <v>10949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>
        <f t="shared" ca="1" si="12"/>
        <v>11024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>
        <f t="shared" ca="1" si="12"/>
        <v>10906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>
        <f t="shared" ca="1" si="12"/>
        <v>11114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>
        <f t="shared" ca="1" si="12"/>
        <v>10738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>
        <f t="shared" ca="1" si="12"/>
        <v>10983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>
        <f t="shared" ca="1" si="12"/>
        <v>10963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>
        <f t="shared" ca="1" si="12"/>
        <v>11020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>
        <f t="shared" ca="1" si="12"/>
        <v>10791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>
        <f t="shared" ca="1" si="12"/>
        <v>11214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>
        <f t="shared" ca="1" si="12"/>
        <v>9965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>
        <f t="shared" ca="1" si="12"/>
        <v>11025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>
        <f t="shared" ca="1" si="12"/>
        <v>11134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>
        <f t="shared" ca="1" si="12"/>
        <v>10954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>
        <f t="shared" ca="1" si="12"/>
        <v>11226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>
        <f t="shared" ca="1" si="12"/>
        <v>10903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>
        <f t="shared" ca="1" si="12"/>
        <v>10733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>
        <f t="shared" ca="1" si="12"/>
        <v>9915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>
        <f t="shared" ca="1" si="12"/>
        <v>10771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>
        <f t="shared" ca="1" si="12"/>
        <v>10507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>
        <f t="shared" ca="1" si="12"/>
        <v>11203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>
        <f t="shared" ca="1" si="12"/>
        <v>10555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>
        <f t="shared" ca="1" si="12"/>
        <v>10699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>
        <f t="shared" ca="1" si="12"/>
        <v>10794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>
        <f t="shared" ca="1" si="12"/>
        <v>10809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>
        <f t="shared" ca="1" si="12"/>
        <v>11116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>
        <f t="shared" ca="1" si="12"/>
        <v>10728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>
        <f t="shared" ca="1" si="12"/>
        <v>11234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>
        <f t="shared" ca="1" si="12"/>
        <v>10772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>
        <f t="shared" ca="1" si="12"/>
        <v>10416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>
        <f t="shared" ca="1" si="12"/>
        <v>10970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>
        <f t="shared" ca="1" si="12"/>
        <v>10997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>
        <f t="shared" ca="1" si="12"/>
        <v>9859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>
        <f t="shared" ref="M835:M898" ca="1" si="13">_xlfn.DAYS(TODAY(),L835)</f>
        <v>11136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>
        <f t="shared" ca="1" si="13"/>
        <v>10541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>
        <f t="shared" ca="1" si="13"/>
        <v>11101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>
        <f t="shared" ca="1" si="13"/>
        <v>10743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>
        <f t="shared" ca="1" si="13"/>
        <v>10954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>
        <f t="shared" ca="1" si="13"/>
        <v>11238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>
        <f t="shared" ca="1" si="13"/>
        <v>11180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>
        <f t="shared" ca="1" si="13"/>
        <v>10267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>
        <f t="shared" ca="1" si="13"/>
        <v>10762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>
        <f t="shared" ca="1" si="13"/>
        <v>10829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>
        <f t="shared" ca="1" si="13"/>
        <v>11203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>
        <f t="shared" ca="1" si="13"/>
        <v>10983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>
        <f t="shared" ca="1" si="13"/>
        <v>10944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>
        <f t="shared" ca="1" si="13"/>
        <v>10800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>
        <f t="shared" ca="1" si="13"/>
        <v>10944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>
        <f t="shared" ca="1" si="13"/>
        <v>10944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>
        <f t="shared" ca="1" si="13"/>
        <v>10874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>
        <f t="shared" ca="1" si="13"/>
        <v>11022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>
        <f t="shared" ca="1" si="13"/>
        <v>10632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>
        <f t="shared" ca="1" si="13"/>
        <v>10476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>
        <f t="shared" ca="1" si="13"/>
        <v>10548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>
        <f t="shared" ca="1" si="13"/>
        <v>11184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>
        <f t="shared" ca="1" si="13"/>
        <v>11248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>
        <f t="shared" ca="1" si="13"/>
        <v>11109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>
        <f t="shared" ca="1" si="13"/>
        <v>11005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>
        <f t="shared" ca="1" si="13"/>
        <v>10983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>
        <f t="shared" ca="1" si="13"/>
        <v>11117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>
        <f t="shared" ca="1" si="13"/>
        <v>10608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>
        <f t="shared" ca="1" si="13"/>
        <v>11097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>
        <f t="shared" ca="1" si="13"/>
        <v>10871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>
        <f t="shared" ca="1" si="13"/>
        <v>11257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>
        <f t="shared" ca="1" si="13"/>
        <v>10762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>
        <f t="shared" ca="1" si="13"/>
        <v>11007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>
        <f t="shared" ca="1" si="13"/>
        <v>11144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>
        <f t="shared" ca="1" si="13"/>
        <v>10647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>
        <f t="shared" ca="1" si="13"/>
        <v>10901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>
        <f t="shared" ca="1" si="13"/>
        <v>11097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>
        <f t="shared" ca="1" si="13"/>
        <v>10883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>
        <f t="shared" ca="1" si="13"/>
        <v>10402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>
        <f t="shared" ca="1" si="13"/>
        <v>11275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>
        <f t="shared" ca="1" si="13"/>
        <v>11088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>
        <f t="shared" ca="1" si="13"/>
        <v>10925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>
        <f t="shared" ca="1" si="13"/>
        <v>10896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>
        <f t="shared" ca="1" si="13"/>
        <v>10978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>
        <f t="shared" ca="1" si="13"/>
        <v>10704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>
        <f t="shared" ca="1" si="13"/>
        <v>10925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>
        <f t="shared" ca="1" si="13"/>
        <v>11058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>
        <f t="shared" ca="1" si="13"/>
        <v>10834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>
        <f t="shared" ca="1" si="13"/>
        <v>11250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>
        <f t="shared" ca="1" si="13"/>
        <v>10800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>
        <f t="shared" ca="1" si="13"/>
        <v>10978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>
        <f t="shared" ca="1" si="13"/>
        <v>11087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>
        <f t="shared" ca="1" si="13"/>
        <v>10647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>
        <f t="shared" ca="1" si="13"/>
        <v>10954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>
        <f t="shared" ca="1" si="13"/>
        <v>11122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>
        <f t="shared" ca="1" si="13"/>
        <v>8382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>
        <f t="shared" ca="1" si="13"/>
        <v>10646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>
        <f t="shared" ca="1" si="13"/>
        <v>10914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>
        <f t="shared" ca="1" si="13"/>
        <v>10090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>
        <f t="shared" ca="1" si="13"/>
        <v>10815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>
        <f t="shared" ca="1" si="13"/>
        <v>11189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>
        <f t="shared" ca="1" si="13"/>
        <v>10935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>
        <f t="shared" ca="1" si="13"/>
        <v>10850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>
        <f t="shared" ca="1" si="13"/>
        <v>11085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>
        <f t="shared" ref="M899:M962" ca="1" si="14">_xlfn.DAYS(TODAY(),L899)</f>
        <v>11082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>
        <f t="shared" ca="1" si="14"/>
        <v>11251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>
        <f t="shared" ca="1" si="14"/>
        <v>10973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>
        <f t="shared" ca="1" si="14"/>
        <v>11056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>
        <f t="shared" ca="1" si="14"/>
        <v>10394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>
        <f t="shared" ca="1" si="14"/>
        <v>11249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>
        <f t="shared" ca="1" si="14"/>
        <v>10809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>
        <f t="shared" ca="1" si="14"/>
        <v>10800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>
        <f t="shared" ca="1" si="14"/>
        <v>10668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>
        <f t="shared" ca="1" si="14"/>
        <v>10944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>
        <f t="shared" ca="1" si="14"/>
        <v>10985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>
        <f t="shared" ca="1" si="14"/>
        <v>10717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>
        <f t="shared" ca="1" si="14"/>
        <v>10939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>
        <f t="shared" ca="1" si="14"/>
        <v>10447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>
        <f t="shared" ca="1" si="14"/>
        <v>10735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>
        <f t="shared" ca="1" si="14"/>
        <v>11175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>
        <f t="shared" ca="1" si="14"/>
        <v>11216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>
        <f t="shared" ca="1" si="14"/>
        <v>11082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>
        <f t="shared" ca="1" si="14"/>
        <v>11076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>
        <f t="shared" ca="1" si="14"/>
        <v>11222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>
        <f t="shared" ca="1" si="14"/>
        <v>11019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>
        <f t="shared" ca="1" si="14"/>
        <v>11064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>
        <f t="shared" ca="1" si="14"/>
        <v>11201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>
        <f t="shared" ca="1" si="14"/>
        <v>10654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>
        <f t="shared" ca="1" si="14"/>
        <v>10968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>
        <f t="shared" ca="1" si="14"/>
        <v>10915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>
        <f t="shared" ca="1" si="14"/>
        <v>11210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>
        <f t="shared" ca="1" si="14"/>
        <v>10868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>
        <f t="shared" ca="1" si="14"/>
        <v>10728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>
        <f t="shared" ca="1" si="14"/>
        <v>10047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>
        <f t="shared" ca="1" si="14"/>
        <v>10728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>
        <f t="shared" ca="1" si="14"/>
        <v>10469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>
        <f t="shared" ca="1" si="14"/>
        <v>11251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>
        <f t="shared" ca="1" si="14"/>
        <v>10964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>
        <f t="shared" ca="1" si="14"/>
        <v>11233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>
        <f t="shared" ca="1" si="14"/>
        <v>10815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>
        <f t="shared" ca="1" si="14"/>
        <v>11062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>
        <f t="shared" ca="1" si="14"/>
        <v>10944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>
        <f t="shared" ca="1" si="14"/>
        <v>10975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>
        <f t="shared" ca="1" si="14"/>
        <v>11013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>
        <f t="shared" ca="1" si="14"/>
        <v>11012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>
        <f t="shared" ca="1" si="14"/>
        <v>10968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>
        <f t="shared" ca="1" si="14"/>
        <v>10973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>
        <f t="shared" ca="1" si="14"/>
        <v>11019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>
        <f t="shared" ca="1" si="14"/>
        <v>10978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>
        <f t="shared" ca="1" si="14"/>
        <v>11060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>
        <f t="shared" ca="1" si="14"/>
        <v>10733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>
        <f t="shared" ca="1" si="14"/>
        <v>9922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>
        <f t="shared" ca="1" si="14"/>
        <v>10843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>
        <f t="shared" ca="1" si="14"/>
        <v>10776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>
        <f t="shared" ca="1" si="14"/>
        <v>11230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>
        <f t="shared" ca="1" si="14"/>
        <v>10805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>
        <f t="shared" ca="1" si="14"/>
        <v>10584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>
        <f t="shared" ca="1" si="14"/>
        <v>10867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>
        <f t="shared" ca="1" si="14"/>
        <v>11193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>
        <f t="shared" ca="1" si="14"/>
        <v>10918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>
        <f t="shared" ca="1" si="14"/>
        <v>10632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>
        <f t="shared" ca="1" si="14"/>
        <v>10855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>
        <f t="shared" ca="1" si="14"/>
        <v>11139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>
        <f t="shared" ca="1" si="14"/>
        <v>10944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>
        <f t="shared" ca="1" si="14"/>
        <v>11055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>
        <f t="shared" ca="1" si="14"/>
        <v>11105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>
        <f t="shared" ca="1" si="14"/>
        <v>11009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>
        <f t="shared" ca="1" si="14"/>
        <v>11177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>
        <f t="shared" ref="M963:M1026" ca="1" si="15">_xlfn.DAYS(TODAY(),L963)</f>
        <v>10994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>
        <f t="shared" ca="1" si="15"/>
        <v>10644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>
        <f t="shared" ca="1" si="15"/>
        <v>10807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>
        <f t="shared" ca="1" si="15"/>
        <v>11246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>
        <f t="shared" ca="1" si="15"/>
        <v>11139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>
        <f t="shared" ca="1" si="15"/>
        <v>10963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>
        <f t="shared" ca="1" si="15"/>
        <v>10757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>
        <f t="shared" ca="1" si="15"/>
        <v>11244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>
        <f t="shared" ca="1" si="15"/>
        <v>11051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>
        <f t="shared" ca="1" si="15"/>
        <v>10445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>
        <f t="shared" ca="1" si="15"/>
        <v>10795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>
        <f t="shared" ca="1" si="15"/>
        <v>10885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>
        <f t="shared" ca="1" si="15"/>
        <v>11203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>
        <f t="shared" ca="1" si="15"/>
        <v>10959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>
        <f t="shared" ca="1" si="15"/>
        <v>10723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>
        <f t="shared" ca="1" si="15"/>
        <v>11234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>
        <f t="shared" ca="1" si="15"/>
        <v>10248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>
        <f t="shared" ca="1" si="15"/>
        <v>10956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>
        <f t="shared" ca="1" si="15"/>
        <v>10864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>
        <f t="shared" ca="1" si="15"/>
        <v>10675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>
        <f t="shared" ca="1" si="15"/>
        <v>10627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>
        <f t="shared" ca="1" si="15"/>
        <v>11271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>
        <f t="shared" ca="1" si="15"/>
        <v>10924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>
        <f t="shared" ca="1" si="15"/>
        <v>10991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>
        <f t="shared" ca="1" si="15"/>
        <v>10779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>
        <f t="shared" ca="1" si="15"/>
        <v>10350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>
        <f t="shared" ca="1" si="15"/>
        <v>11262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>
        <f t="shared" ca="1" si="15"/>
        <v>11048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>
        <f t="shared" ca="1" si="15"/>
        <v>10812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>
        <f t="shared" ca="1" si="15"/>
        <v>11095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>
        <f t="shared" ca="1" si="15"/>
        <v>10791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>
        <f t="shared" ca="1" si="15"/>
        <v>10767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>
        <f t="shared" ca="1" si="15"/>
        <v>10925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>
        <f t="shared" ca="1" si="15"/>
        <v>10973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>
        <f t="shared" ca="1" si="15"/>
        <v>10935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>
        <f t="shared" ca="1" si="15"/>
        <v>10762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>
        <f t="shared" ca="1" si="15"/>
        <v>11134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>
        <f t="shared" ca="1" si="15"/>
        <v>10926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>
        <f t="shared" ca="1" si="15"/>
        <v>10781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>
        <f t="shared" ca="1" si="15"/>
        <v>10930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>
        <f t="shared" ca="1" si="15"/>
        <v>11221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>
        <f t="shared" ca="1" si="15"/>
        <v>10675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>
        <f t="shared" ca="1" si="15"/>
        <v>10933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>
        <f t="shared" ca="1" si="15"/>
        <v>10834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>
        <f t="shared" ca="1" si="15"/>
        <v>10248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>
        <f t="shared" ca="1" si="15"/>
        <v>11000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>
        <f t="shared" ca="1" si="15"/>
        <v>10803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>
        <f t="shared" ca="1" si="15"/>
        <v>9939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>
        <f t="shared" ca="1" si="15"/>
        <v>10728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>
        <f t="shared" ca="1" si="15"/>
        <v>11268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>
        <f t="shared" ca="1" si="15"/>
        <v>10735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>
        <f t="shared" ca="1" si="15"/>
        <v>10892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>
        <f t="shared" ca="1" si="15"/>
        <v>10738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>
        <f t="shared" ca="1" si="15"/>
        <v>10954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>
        <f t="shared" ca="1" si="15"/>
        <v>11256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>
        <f t="shared" ca="1" si="15"/>
        <v>10704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>
        <f t="shared" ca="1" si="15"/>
        <v>11167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>
        <f t="shared" ca="1" si="15"/>
        <v>10867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>
        <f t="shared" ca="1" si="15"/>
        <v>10568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>
        <f t="shared" ca="1" si="15"/>
        <v>10208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>
        <f t="shared" ca="1" si="15"/>
        <v>10468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>
        <f t="shared" ca="1" si="15"/>
        <v>10657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>
        <f t="shared" ca="1" si="15"/>
        <v>10871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>
        <f t="shared" ca="1" si="15"/>
        <v>10565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>
        <f t="shared" ref="M1027:M1072" ca="1" si="16">_xlfn.DAYS(TODAY(),L1027)</f>
        <v>10963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>
        <f t="shared" ca="1" si="16"/>
        <v>10568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>
        <f t="shared" ca="1" si="16"/>
        <v>10939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>
        <f t="shared" ca="1" si="16"/>
        <v>11043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>
        <f t="shared" ca="1" si="16"/>
        <v>11207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>
        <f t="shared" ca="1" si="16"/>
        <v>10988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>
        <f t="shared" ca="1" si="16"/>
        <v>10963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>
        <f t="shared" ca="1" si="16"/>
        <v>10680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>
        <f t="shared" ca="1" si="16"/>
        <v>10884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>
        <f t="shared" ca="1" si="16"/>
        <v>10728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>
        <f t="shared" ca="1" si="16"/>
        <v>11036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>
        <f t="shared" ca="1" si="16"/>
        <v>11043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>
        <f t="shared" ca="1" si="16"/>
        <v>10944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>
        <f t="shared" ca="1" si="16"/>
        <v>10939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>
        <f t="shared" ca="1" si="16"/>
        <v>10805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>
        <f t="shared" ca="1" si="16"/>
        <v>10930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>
        <f t="shared" ca="1" si="16"/>
        <v>11031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>
        <f t="shared" ca="1" si="16"/>
        <v>10752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>
        <f t="shared" ca="1" si="16"/>
        <v>10947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>
        <f t="shared" ca="1" si="16"/>
        <v>10779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>
        <f t="shared" ca="1" si="16"/>
        <v>11190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>
        <f t="shared" ca="1" si="16"/>
        <v>9857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>
        <f t="shared" ca="1" si="16"/>
        <v>10941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>
        <f t="shared" ca="1" si="16"/>
        <v>11233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>
        <f t="shared" ca="1" si="16"/>
        <v>10975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>
        <f t="shared" ca="1" si="16"/>
        <v>11131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>
        <f t="shared" ca="1" si="16"/>
        <v>11211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>
        <f t="shared" ca="1" si="16"/>
        <v>10743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>
        <f t="shared" ca="1" si="16"/>
        <v>10928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>
        <f t="shared" ca="1" si="16"/>
        <v>11030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>
        <f t="shared" ca="1" si="16"/>
        <v>10750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>
        <f t="shared" ca="1" si="16"/>
        <v>11214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>
        <f t="shared" ca="1" si="16"/>
        <v>10959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>
        <f t="shared" ca="1" si="16"/>
        <v>10320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>
        <f t="shared" ca="1" si="16"/>
        <v>10555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>
        <f t="shared" ca="1" si="16"/>
        <v>10935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>
        <f t="shared" ca="1" si="16"/>
        <v>10729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>
        <f t="shared" ca="1" si="16"/>
        <v>10786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>
        <f t="shared" ca="1" si="16"/>
        <v>11104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>
        <f t="shared" ca="1" si="16"/>
        <v>11026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>
        <f t="shared" ca="1" si="16"/>
        <v>11245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>
        <f t="shared" ca="1" si="16"/>
        <v>10914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>
        <f t="shared" ca="1" si="16"/>
        <v>11068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>
        <f t="shared" ca="1" si="16"/>
        <v>10642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>
        <f t="shared" ca="1" si="16"/>
        <v>10728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>
        <f t="shared" ca="1" si="16"/>
        <v>10738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/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LABORATORIO 2</vt:lpstr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Oriana Daniela Rosciano</cp:lastModifiedBy>
  <dcterms:created xsi:type="dcterms:W3CDTF">2015-06-05T18:17:20Z</dcterms:created>
  <dcterms:modified xsi:type="dcterms:W3CDTF">2026-09-10T12:27:50Z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